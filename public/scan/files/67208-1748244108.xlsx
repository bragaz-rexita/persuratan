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D:\NOVENIA KEU PT 01.10.2022\FESIBILITY STUDY\"/>
    </mc:Choice>
  </mc:AlternateContent>
  <xr:revisionPtr revIDLastSave="0" documentId="13_ncr:1_{FA880383-D6C8-4440-B451-BF5C5E70FDD2}" xr6:coauthVersionLast="47" xr6:coauthVersionMax="47" xr10:uidLastSave="{00000000-0000-0000-0000-000000000000}"/>
  <bookViews>
    <workbookView xWindow="-110" yWindow="-110" windowWidth="19420" windowHeight="10300" activeTab="1" xr2:uid="{A1B8DCBE-89B3-48D1-81F7-928D6C7D1E2A}"/>
  </bookViews>
  <sheets>
    <sheet name="POTENSI PASIEN BPJS" sheetId="1" r:id="rId1"/>
    <sheet name="ASUMSI BEP" sheetId="4"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4" i="4" l="1"/>
  <c r="F4" i="4"/>
  <c r="F7" i="1"/>
  <c r="G49" i="4"/>
  <c r="I45" i="4"/>
  <c r="C42" i="4" s="1"/>
  <c r="I46" i="4"/>
  <c r="C43" i="4" s="1"/>
  <c r="I47" i="4"/>
  <c r="C44" i="4" s="1"/>
  <c r="I48" i="4"/>
  <c r="C45" i="4" s="1"/>
  <c r="I44" i="4"/>
  <c r="C41" i="4" s="1"/>
  <c r="F31" i="4"/>
  <c r="F32" i="4"/>
  <c r="F30" i="4"/>
  <c r="F26" i="4"/>
  <c r="F25" i="4"/>
  <c r="F23" i="4"/>
  <c r="F16" i="4"/>
  <c r="F15" i="4"/>
  <c r="F14" i="4"/>
  <c r="F13" i="4"/>
  <c r="F12" i="4"/>
  <c r="F11" i="4"/>
  <c r="F10" i="4"/>
  <c r="F9" i="4"/>
  <c r="F8" i="4"/>
  <c r="F7" i="4"/>
  <c r="F6" i="4"/>
  <c r="F5" i="4"/>
  <c r="F17" i="4" s="1"/>
  <c r="C40" i="4" s="1"/>
  <c r="C47" i="4" l="1"/>
  <c r="C48" i="4"/>
  <c r="E29" i="4"/>
  <c r="F29" i="4" s="1"/>
  <c r="F33" i="4" s="1"/>
  <c r="F24" i="4" l="1"/>
  <c r="F27" i="4" s="1"/>
  <c r="F34" i="4" s="1"/>
  <c r="C52" i="4" l="1"/>
  <c r="C50" i="4" l="1"/>
  <c r="C49" i="4"/>
  <c r="C53" i="4"/>
  <c r="C54" i="4" s="1"/>
  <c r="C55" i="4" s="1"/>
  <c r="C56" i="4" s="1"/>
  <c r="C57" i="4" s="1"/>
</calcChain>
</file>

<file path=xl/sharedStrings.xml><?xml version="1.0" encoding="utf-8"?>
<sst xmlns="http://schemas.openxmlformats.org/spreadsheetml/2006/main" count="115" uniqueCount="89">
  <si>
    <t>No</t>
  </si>
  <si>
    <t>Jenis Investasi</t>
  </si>
  <si>
    <t>Satuan</t>
  </si>
  <si>
    <t>Jumlah</t>
  </si>
  <si>
    <t>(satuan) Rp</t>
  </si>
  <si>
    <t>Harga</t>
  </si>
  <si>
    <t>Orang</t>
  </si>
  <si>
    <t>Biaya</t>
  </si>
  <si>
    <t>Pemeliharaan</t>
  </si>
  <si>
    <t>Listrik</t>
  </si>
  <si>
    <t>POTENSI PASIEN DALAM SATU TAHUN</t>
  </si>
  <si>
    <t>Tanah &amp; Bangunan</t>
  </si>
  <si>
    <t>Meter</t>
  </si>
  <si>
    <t>%</t>
  </si>
  <si>
    <t>AC</t>
  </si>
  <si>
    <t>pcs</t>
  </si>
  <si>
    <t>Penyusutan</t>
  </si>
  <si>
    <t>Diagnosa</t>
  </si>
  <si>
    <t>Tindakan</t>
  </si>
  <si>
    <t>Jumlah Pasien 2024</t>
  </si>
  <si>
    <t>A. Jenis Investasi (Pembebanan 1 kali)</t>
  </si>
  <si>
    <t>Bed periksa</t>
  </si>
  <si>
    <t xml:space="preserve">Matras </t>
  </si>
  <si>
    <t>Lampu viewer</t>
  </si>
  <si>
    <t>Wastafel</t>
  </si>
  <si>
    <t>Kursi pasien plastik</t>
  </si>
  <si>
    <t>Printer</t>
  </si>
  <si>
    <t>telepone</t>
  </si>
  <si>
    <t>lemari putih besi</t>
  </si>
  <si>
    <t>Hepa filter</t>
  </si>
  <si>
    <t>Komputer Set</t>
  </si>
  <si>
    <t>Total</t>
  </si>
  <si>
    <t>B. OPERASIONAL (Pembebanan dalam 1 tahun)</t>
  </si>
  <si>
    <t>Biaya Tetap</t>
  </si>
  <si>
    <t>Personalia</t>
  </si>
  <si>
    <t>Kwh</t>
  </si>
  <si>
    <t>Air</t>
  </si>
  <si>
    <t>m3</t>
  </si>
  <si>
    <t>TOTAL BIAYA TETAP</t>
  </si>
  <si>
    <t>Biaya Variabel</t>
  </si>
  <si>
    <t>Perlengkapan kantor</t>
  </si>
  <si>
    <t>Paket</t>
  </si>
  <si>
    <t>Handscoon</t>
  </si>
  <si>
    <t>box</t>
  </si>
  <si>
    <t>TOTAL BIAYA VARIABEL</t>
  </si>
  <si>
    <t>C. Perhitungan NPV, IRR &amp; BCR</t>
  </si>
  <si>
    <t>Waktu</t>
  </si>
  <si>
    <t>Tahun ke</t>
  </si>
  <si>
    <t>Pendapatan</t>
  </si>
  <si>
    <t>Noted Pendapatan:</t>
  </si>
  <si>
    <t>Akhir Tahun 2026</t>
  </si>
  <si>
    <t>Akhir Tahun 2027</t>
  </si>
  <si>
    <t>Target pemeriksaan minimal</t>
  </si>
  <si>
    <t>Akhir Tahun 2028</t>
  </si>
  <si>
    <t>Akhir Tahun 2029</t>
  </si>
  <si>
    <t>Suku bunga saat ini</t>
  </si>
  <si>
    <t>Net Present Value</t>
  </si>
  <si>
    <t>Internal Rate of Return</t>
  </si>
  <si>
    <t>Profitability Indeks</t>
  </si>
  <si>
    <t>Payback Period</t>
  </si>
  <si>
    <t>Investasi</t>
  </si>
  <si>
    <t>Kertas</t>
  </si>
  <si>
    <t>Pcs</t>
  </si>
  <si>
    <t>Tahun ke-1 : 21 pemeriksaan per Bulan.</t>
  </si>
  <si>
    <t>Tahun ke-2 : 21 pemeriksaan per Bulan.</t>
  </si>
  <si>
    <t>Tahun ke-3 : 21 pemeriksaan per Bulan.</t>
  </si>
  <si>
    <t>Tahun ke-4 : 21 pemeriksaan per Bulan.</t>
  </si>
  <si>
    <t>Tahun ke-5 : 21 pemeriksaan per Bulan.</t>
  </si>
  <si>
    <t>ANALISA:</t>
  </si>
  <si>
    <t xml:space="preserve">Keuntungan : dengan pendapatan dengan Inacbg's RJ biaya / cost </t>
  </si>
  <si>
    <t>investasi dengan NPV negatif menunjukan peluang pengembalian hasil yang jauh dari yang diharapkan. Hal ini berarti  investasi tersebut tidak akan memberikan imbal hasil</t>
  </si>
  <si>
    <t>Hearing loss</t>
  </si>
  <si>
    <t>OAE</t>
  </si>
  <si>
    <t>Jumlah Pasien 2023</t>
  </si>
  <si>
    <t>PROG&gt; Jumlah Pasien 2024</t>
  </si>
  <si>
    <t>TARIF RJ</t>
  </si>
  <si>
    <t>Otoport oae system - clinical oae</t>
  </si>
  <si>
    <t>Dengan Asumsi jumlah pasien per tahun dengan Harga start 200.000</t>
  </si>
  <si>
    <t>Investasi Akhir Tahun 2025</t>
  </si>
  <si>
    <t>Akhir Tahun 2030</t>
  </si>
  <si>
    <t>Pengembangan Layanan dengan penambahan alat  Otoport oae system - clinical oae secara ekonomi tidak layak untuk dilakukan, dengan analisa ekonomis sebagai berikut :</t>
  </si>
  <si>
    <t>1. Nilai Net Present Value &lt; 0 dibandingkan modal/investasi awal yaitu NPV = sebesar Rp. 20.803.380</t>
  </si>
  <si>
    <t>Apabila NPV memiliki nilai negatif, menunjukkan bahwa nilai sekarang dari arus kas yang masuk lebih kecil daripada nilai sekarang dari arus kas yang keluar. akan menurunkan nilai keuntungan usaha karena pengembalian yang diharapkan lebih kecil dari tingkat pengembalian yang disyaratkan atau yang diharapkan</t>
  </si>
  <si>
    <t>2. Nilai Internal Rate of Return kurang dari suku bunga saat ini yaitu -48.06%,  Suatu investasi dikatakan layak, apabila nilai IRR lebih besar dari tingkat suku bunga yang berlaku dan sebaliknya jika nilai IRR lebih kecil dari tingkat suku bunga yang berlaku, maka investasi tersebut tidak layak untuk dilaksanakan</t>
  </si>
  <si>
    <t>3. Pay Back Period (PBP) cukup lama dan lebih dari 5 tahun</t>
  </si>
  <si>
    <t>PERTIMBANGAN</t>
  </si>
  <si>
    <t xml:space="preserve">Adanya resiko pembiayaan </t>
  </si>
  <si>
    <t>4. Berdasarkan  hasil analisis Pay Back Period dengan total biaya investasi Rp 335 juta  dapat ketahui bahwa tingkat pengembalian modal titik impas / tahap di mana pendapatan sama dengan biaya operasional lebih dari 10 tahun, sedangkan masa alat max 5 tahun</t>
  </si>
  <si>
    <t>Apabila target pemeriksaan tidak terpenuhi sedangkan Rumah Sakit sudah mengeluarkan biaya investasi 157 juta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</si>
</sst>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_-;\-* #,##0_-;_-* &quot;-&quot;_-;_-@_-"/>
    <numFmt numFmtId="165" formatCode="_-* #,##0.00_-;\-* #,##0.00_-;_-* &quot;-&quot;??_-;_-@_-"/>
    <numFmt numFmtId="166" formatCode="_(* #,##0_);_(* \(#,##0\);_(* &quot;-&quot;??_);_(@_)"/>
    <numFmt numFmtId="167" formatCode="_-&quot;Rp&quot;* #,##0.00_-;\-&quot;Rp&quot;* #,##0.00_-;_-&quot;Rp&quot;* &quot;-&quot;??_-;_-@_-"/>
    <numFmt numFmtId="168" formatCode="&quot;Rp&quot;#,##0.00;[Red]\-&quot;Rp&quot;#,##0.00"/>
    <numFmt numFmtId="169" formatCode="_-* #,##0.000_-;\-* #,##0.000_-;_-* &quot;-&quot;??_-;_-@_-"/>
    <numFmt numFmtId="170" formatCode="_-* #,##0_-;\-* #,##0_-;_-* &quot;-&quot;??_-;_-@_-"/>
  </numFmts>
  <fonts count="16" x14ac:knownFonts="1">
    <font>
      <sz val="11"/>
      <color theme="1"/>
      <name val="Calibri"/>
      <family val="2"/>
      <scheme val="minor"/>
    </font>
    <font>
      <sz val="11"/>
      <color theme="1"/>
      <name val="Arial"/>
      <family val="2"/>
    </font>
    <font>
      <b/>
      <sz val="11"/>
      <color theme="1"/>
      <name val="Arial"/>
      <family val="2"/>
    </font>
    <font>
      <sz val="11"/>
      <color rgb="FF000000"/>
      <name val="Arial"/>
      <family val="2"/>
    </font>
    <font>
      <sz val="12"/>
      <color theme="1"/>
      <name val="Arial"/>
      <family val="2"/>
    </font>
    <font>
      <sz val="11"/>
      <color theme="1"/>
      <name val="Calibri"/>
      <family val="2"/>
      <scheme val="minor"/>
    </font>
    <font>
      <sz val="11"/>
      <color theme="1"/>
      <name val="Calibri"/>
      <family val="2"/>
      <charset val="1"/>
      <scheme val="minor"/>
    </font>
    <font>
      <b/>
      <sz val="12"/>
      <color theme="1"/>
      <name val="Arial"/>
      <family val="2"/>
    </font>
    <font>
      <b/>
      <sz val="14"/>
      <name val="Arial"/>
      <family val="2"/>
    </font>
    <font>
      <sz val="14"/>
      <name val="Arial"/>
      <family val="2"/>
    </font>
    <font>
      <sz val="12"/>
      <color theme="0"/>
      <name val="Arial"/>
      <family val="2"/>
    </font>
    <font>
      <sz val="11"/>
      <name val="Arial"/>
      <family val="2"/>
    </font>
    <font>
      <sz val="12"/>
      <name val="Arial"/>
      <family val="2"/>
    </font>
    <font>
      <b/>
      <sz val="11"/>
      <color theme="1"/>
      <name val="Aptos Display"/>
      <family val="2"/>
    </font>
    <font>
      <sz val="11"/>
      <color theme="1"/>
      <name val="Aptos Display"/>
      <family val="2"/>
    </font>
    <font>
      <u val="singleAccounting"/>
      <sz val="12"/>
      <name val="Arial"/>
      <family val="2"/>
    </font>
  </fonts>
  <fills count="7">
    <fill>
      <patternFill patternType="none"/>
    </fill>
    <fill>
      <patternFill patternType="gray125"/>
    </fill>
    <fill>
      <patternFill patternType="solid">
        <fgColor rgb="FFFFFF00"/>
        <bgColor indexed="64"/>
      </patternFill>
    </fill>
    <fill>
      <patternFill patternType="solid">
        <fgColor theme="4" tint="-0.49998474074526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4"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bottom/>
      <diagonal/>
    </border>
  </borders>
  <cellStyleXfs count="6">
    <xf numFmtId="0" fontId="0" fillId="0" borderId="0"/>
    <xf numFmtId="165" fontId="5" fillId="0" borderId="0" applyFont="0" applyFill="0" applyBorder="0" applyAlignment="0" applyProtection="0"/>
    <xf numFmtId="164" fontId="5" fillId="0" borderId="0" applyFont="0" applyFill="0" applyBorder="0" applyAlignment="0" applyProtection="0"/>
    <xf numFmtId="0" fontId="6" fillId="0" borderId="0"/>
    <xf numFmtId="43" fontId="6" fillId="0" borderId="0" applyFont="0" applyFill="0" applyBorder="0" applyAlignment="0" applyProtection="0"/>
    <xf numFmtId="9" fontId="5" fillId="0" borderId="0" applyFont="0" applyFill="0" applyBorder="0" applyAlignment="0" applyProtection="0"/>
  </cellStyleXfs>
  <cellXfs count="82">
    <xf numFmtId="0" fontId="0" fillId="0" borderId="0" xfId="0"/>
    <xf numFmtId="0" fontId="4" fillId="0" borderId="1" xfId="0" applyFont="1" applyBorder="1" applyAlignment="1">
      <alignment horizontal="center"/>
    </xf>
    <xf numFmtId="164" fontId="3" fillId="0" borderId="1" xfId="2" applyFont="1" applyBorder="1" applyAlignment="1">
      <alignment horizontal="right" vertical="center" wrapText="1"/>
    </xf>
    <xf numFmtId="164" fontId="1" fillId="0" borderId="1" xfId="2" applyFont="1" applyBorder="1"/>
    <xf numFmtId="164" fontId="4" fillId="0" borderId="1" xfId="2" applyFont="1" applyBorder="1" applyAlignment="1">
      <alignment horizontal="center" vertical="center"/>
    </xf>
    <xf numFmtId="166" fontId="4" fillId="0" borderId="1" xfId="1" applyNumberFormat="1" applyFont="1" applyBorder="1"/>
    <xf numFmtId="0" fontId="4" fillId="0" borderId="0" xfId="0" applyFont="1"/>
    <xf numFmtId="167" fontId="4" fillId="0" borderId="0" xfId="0" applyNumberFormat="1" applyFont="1"/>
    <xf numFmtId="165" fontId="4" fillId="0" borderId="0" xfId="1" applyFont="1" applyFill="1" applyBorder="1"/>
    <xf numFmtId="164" fontId="4" fillId="0" borderId="0" xfId="2" applyFont="1"/>
    <xf numFmtId="166" fontId="4" fillId="0" borderId="0" xfId="1" applyNumberFormat="1" applyFont="1"/>
    <xf numFmtId="0" fontId="7" fillId="0" borderId="0" xfId="0" applyFont="1"/>
    <xf numFmtId="0" fontId="7" fillId="0" borderId="1" xfId="0" applyFont="1" applyBorder="1" applyAlignment="1">
      <alignment horizontal="center"/>
    </xf>
    <xf numFmtId="164" fontId="7" fillId="0" borderId="1" xfId="2" applyFont="1" applyBorder="1" applyAlignment="1">
      <alignment horizontal="center"/>
    </xf>
    <xf numFmtId="164" fontId="4" fillId="0" borderId="0" xfId="2" applyFont="1" applyAlignment="1">
      <alignment horizontal="center"/>
    </xf>
    <xf numFmtId="166" fontId="4" fillId="0" borderId="0" xfId="1" applyNumberFormat="1" applyFont="1" applyAlignment="1">
      <alignment horizontal="center"/>
    </xf>
    <xf numFmtId="0" fontId="4" fillId="0" borderId="0" xfId="0" applyFont="1" applyAlignment="1">
      <alignment horizontal="center"/>
    </xf>
    <xf numFmtId="0" fontId="4" fillId="2" borderId="1" xfId="0" applyFont="1" applyFill="1" applyBorder="1"/>
    <xf numFmtId="0" fontId="4" fillId="2" borderId="1" xfId="0" applyFont="1" applyFill="1" applyBorder="1" applyAlignment="1">
      <alignment horizontal="center"/>
    </xf>
    <xf numFmtId="166" fontId="4" fillId="2" borderId="1" xfId="1" applyNumberFormat="1" applyFont="1" applyFill="1" applyBorder="1"/>
    <xf numFmtId="164" fontId="4" fillId="2" borderId="1" xfId="2" applyFont="1" applyFill="1" applyBorder="1" applyAlignment="1">
      <alignment horizontal="center" vertical="center"/>
    </xf>
    <xf numFmtId="164" fontId="4" fillId="2" borderId="0" xfId="2" applyFont="1" applyFill="1"/>
    <xf numFmtId="10" fontId="4" fillId="2" borderId="0" xfId="5" applyNumberFormat="1" applyFont="1" applyFill="1"/>
    <xf numFmtId="164" fontId="4" fillId="2" borderId="0" xfId="0" applyNumberFormat="1" applyFont="1" applyFill="1"/>
    <xf numFmtId="0" fontId="4" fillId="2" borderId="0" xfId="0" applyFont="1" applyFill="1"/>
    <xf numFmtId="0" fontId="4" fillId="0" borderId="1" xfId="0" applyFont="1" applyBorder="1"/>
    <xf numFmtId="10" fontId="4" fillId="0" borderId="0" xfId="5" applyNumberFormat="1" applyFont="1"/>
    <xf numFmtId="164" fontId="4" fillId="0" borderId="0" xfId="0" applyNumberFormat="1" applyFont="1"/>
    <xf numFmtId="164" fontId="4" fillId="0" borderId="1" xfId="2" applyFont="1" applyBorder="1"/>
    <xf numFmtId="166" fontId="4" fillId="0" borderId="0" xfId="0" applyNumberFormat="1" applyFont="1"/>
    <xf numFmtId="0" fontId="4" fillId="0" borderId="1" xfId="5" applyNumberFormat="1" applyFont="1" applyBorder="1"/>
    <xf numFmtId="0" fontId="7" fillId="0" borderId="1" xfId="0" applyFont="1" applyBorder="1"/>
    <xf numFmtId="164" fontId="7" fillId="0" borderId="1" xfId="2" applyFont="1" applyBorder="1"/>
    <xf numFmtId="166" fontId="7" fillId="0" borderId="1" xfId="1" applyNumberFormat="1" applyFont="1" applyBorder="1" applyAlignment="1">
      <alignment horizontal="center"/>
    </xf>
    <xf numFmtId="166" fontId="7" fillId="0" borderId="0" xfId="1" applyNumberFormat="1" applyFont="1" applyAlignment="1">
      <alignment horizontal="center"/>
    </xf>
    <xf numFmtId="0" fontId="7" fillId="0" borderId="0" xfId="0" applyFont="1" applyAlignment="1">
      <alignment horizontal="center"/>
    </xf>
    <xf numFmtId="9" fontId="4" fillId="0" borderId="1" xfId="5" applyFont="1" applyBorder="1"/>
    <xf numFmtId="166" fontId="7" fillId="0" borderId="1" xfId="1" applyNumberFormat="1" applyFont="1" applyBorder="1"/>
    <xf numFmtId="164" fontId="2" fillId="0" borderId="1" xfId="2" applyFont="1" applyBorder="1"/>
    <xf numFmtId="166" fontId="7" fillId="0" borderId="0" xfId="1" applyNumberFormat="1" applyFont="1"/>
    <xf numFmtId="0" fontId="9" fillId="0" borderId="0" xfId="3" applyFont="1"/>
    <xf numFmtId="0" fontId="10" fillId="3" borderId="1" xfId="3" applyFont="1" applyFill="1" applyBorder="1" applyAlignment="1">
      <alignment horizontal="center"/>
    </xf>
    <xf numFmtId="167" fontId="4" fillId="0" borderId="9" xfId="3" applyNumberFormat="1" applyFont="1" applyBorder="1"/>
    <xf numFmtId="0" fontId="11" fillId="0" borderId="0" xfId="3" applyFont="1"/>
    <xf numFmtId="164" fontId="12" fillId="0" borderId="0" xfId="2" applyFont="1"/>
    <xf numFmtId="0" fontId="12" fillId="0" borderId="0" xfId="0" applyFont="1"/>
    <xf numFmtId="0" fontId="4" fillId="4" borderId="1" xfId="3" applyFont="1" applyFill="1" applyBorder="1"/>
    <xf numFmtId="0" fontId="4" fillId="5" borderId="1" xfId="3" applyFont="1" applyFill="1" applyBorder="1" applyAlignment="1">
      <alignment horizontal="center"/>
    </xf>
    <xf numFmtId="166" fontId="4" fillId="5" borderId="1" xfId="4" applyNumberFormat="1" applyFont="1" applyFill="1" applyBorder="1"/>
    <xf numFmtId="166" fontId="11" fillId="0" borderId="0" xfId="3" applyNumberFormat="1" applyFont="1"/>
    <xf numFmtId="166" fontId="12" fillId="0" borderId="0" xfId="1" applyNumberFormat="1" applyFont="1"/>
    <xf numFmtId="0" fontId="4" fillId="6" borderId="1" xfId="3" applyFont="1" applyFill="1" applyBorder="1"/>
    <xf numFmtId="0" fontId="4" fillId="6" borderId="1" xfId="3" applyFont="1" applyFill="1" applyBorder="1" applyAlignment="1">
      <alignment horizontal="center"/>
    </xf>
    <xf numFmtId="9" fontId="3" fillId="6" borderId="1" xfId="0" applyNumberFormat="1" applyFont="1" applyFill="1" applyBorder="1" applyAlignment="1">
      <alignment horizontal="right" vertical="center"/>
    </xf>
    <xf numFmtId="168" fontId="3" fillId="6" borderId="1" xfId="0" applyNumberFormat="1" applyFont="1" applyFill="1" applyBorder="1" applyAlignment="1">
      <alignment horizontal="right" vertical="center"/>
    </xf>
    <xf numFmtId="10" fontId="3" fillId="6" borderId="1" xfId="0" applyNumberFormat="1" applyFont="1" applyFill="1" applyBorder="1" applyAlignment="1">
      <alignment horizontal="right" vertical="center"/>
    </xf>
    <xf numFmtId="0" fontId="3" fillId="6" borderId="1" xfId="0" applyFont="1" applyFill="1" applyBorder="1" applyAlignment="1">
      <alignment horizontal="right" vertical="center"/>
    </xf>
    <xf numFmtId="169" fontId="3" fillId="6" borderId="1" xfId="0" applyNumberFormat="1" applyFont="1" applyFill="1" applyBorder="1" applyAlignment="1">
      <alignment horizontal="right" vertical="center"/>
    </xf>
    <xf numFmtId="167" fontId="4" fillId="0" borderId="0" xfId="3" applyNumberFormat="1" applyFont="1"/>
    <xf numFmtId="0" fontId="4" fillId="4" borderId="1" xfId="3" applyFont="1" applyFill="1" applyBorder="1" applyAlignment="1">
      <alignment horizontal="center"/>
    </xf>
    <xf numFmtId="166" fontId="1" fillId="4" borderId="1" xfId="3" applyNumberFormat="1" applyFont="1" applyFill="1" applyBorder="1"/>
    <xf numFmtId="166" fontId="4" fillId="0" borderId="1" xfId="1" applyNumberFormat="1" applyFont="1" applyFill="1" applyBorder="1"/>
    <xf numFmtId="164" fontId="1" fillId="0" borderId="1" xfId="2" applyFont="1" applyFill="1" applyBorder="1"/>
    <xf numFmtId="0" fontId="4" fillId="0" borderId="0" xfId="3" applyFont="1"/>
    <xf numFmtId="0" fontId="4" fillId="0" borderId="0" xfId="3" applyFont="1" applyAlignment="1">
      <alignment horizontal="center"/>
    </xf>
    <xf numFmtId="166" fontId="1" fillId="0" borderId="0" xfId="3" applyNumberFormat="1" applyFont="1"/>
    <xf numFmtId="0" fontId="7"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8" fillId="0" borderId="0" xfId="3" applyFont="1" applyAlignment="1">
      <alignment horizontal="left"/>
    </xf>
    <xf numFmtId="0" fontId="13" fillId="0" borderId="0" xfId="0" applyFont="1"/>
    <xf numFmtId="164" fontId="13" fillId="0" borderId="0" xfId="2" applyFont="1" applyAlignment="1">
      <alignment horizontal="center"/>
    </xf>
    <xf numFmtId="0" fontId="14" fillId="0" borderId="0" xfId="0" applyFont="1"/>
    <xf numFmtId="164" fontId="14" fillId="0" borderId="0" xfId="2" applyFont="1" applyAlignment="1">
      <alignment horizontal="center"/>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13" fillId="2" borderId="6" xfId="0" applyFont="1" applyFill="1" applyBorder="1" applyAlignment="1">
      <alignment horizontal="center" vertical="center" wrapText="1"/>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170" fontId="14" fillId="2" borderId="8" xfId="1" applyNumberFormat="1" applyFont="1" applyFill="1" applyBorder="1" applyAlignment="1">
      <alignment horizontal="center" vertical="center" wrapText="1"/>
    </xf>
    <xf numFmtId="165" fontId="14" fillId="0" borderId="0" xfId="1" applyFont="1"/>
    <xf numFmtId="166" fontId="15" fillId="0" borderId="0" xfId="1" applyNumberFormat="1" applyFont="1"/>
  </cellXfs>
  <cellStyles count="6">
    <cellStyle name="Comma" xfId="1" builtinId="3"/>
    <cellStyle name="Comma [0]" xfId="2" builtinId="6"/>
    <cellStyle name="Comma 6" xfId="4" xr:uid="{03A83A6E-BF07-4E32-A1F0-5A98793C303D}"/>
    <cellStyle name="Normal" xfId="0" builtinId="0"/>
    <cellStyle name="Normal 4" xfId="3" xr:uid="{73B9D570-658E-44F9-9249-46ED7CCE3832}"/>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936E4-BC01-447A-9C74-A06B61E7D932}">
  <dimension ref="B2:H7"/>
  <sheetViews>
    <sheetView workbookViewId="0">
      <selection activeCell="B7" sqref="B7"/>
    </sheetView>
  </sheetViews>
  <sheetFormatPr defaultRowHeight="14.5" x14ac:dyDescent="0.35"/>
  <cols>
    <col min="1" max="1" width="8.7265625" style="72"/>
    <col min="2" max="2" width="16.1796875" style="72" customWidth="1"/>
    <col min="3" max="4" width="15.81640625" style="72" customWidth="1"/>
    <col min="5" max="6" width="17" style="73" customWidth="1"/>
    <col min="7" max="7" width="12.90625" style="73" customWidth="1"/>
    <col min="8" max="8" width="13.6328125" style="72" bestFit="1" customWidth="1"/>
    <col min="9" max="16384" width="8.7265625" style="72"/>
  </cols>
  <sheetData>
    <row r="2" spans="2:8" s="72" customFormat="1" x14ac:dyDescent="0.35">
      <c r="B2" s="70"/>
      <c r="C2" s="70"/>
      <c r="D2" s="70"/>
      <c r="E2" s="71"/>
      <c r="F2" s="71"/>
      <c r="G2" s="71"/>
    </row>
    <row r="4" spans="2:8" s="72" customFormat="1" x14ac:dyDescent="0.35">
      <c r="B4" s="70" t="s">
        <v>10</v>
      </c>
      <c r="E4" s="73"/>
      <c r="F4" s="73"/>
      <c r="G4" s="73"/>
    </row>
    <row r="5" spans="2:8" s="72" customFormat="1" ht="15" thickBot="1" x14ac:dyDescent="0.4">
      <c r="E5" s="73"/>
      <c r="F5" s="73"/>
      <c r="G5" s="73"/>
    </row>
    <row r="6" spans="2:8" s="70" customFormat="1" ht="29.5" thickBot="1" x14ac:dyDescent="0.4">
      <c r="B6" s="74" t="s">
        <v>17</v>
      </c>
      <c r="C6" s="75" t="s">
        <v>18</v>
      </c>
      <c r="D6" s="75" t="s">
        <v>73</v>
      </c>
      <c r="E6" s="75" t="s">
        <v>19</v>
      </c>
      <c r="F6" s="75" t="s">
        <v>74</v>
      </c>
      <c r="G6" s="76" t="s">
        <v>75</v>
      </c>
    </row>
    <row r="7" spans="2:8" s="72" customFormat="1" ht="42.65" customHeight="1" thickBot="1" x14ac:dyDescent="0.4">
      <c r="B7" s="77" t="s">
        <v>71</v>
      </c>
      <c r="C7" s="78" t="s">
        <v>72</v>
      </c>
      <c r="D7" s="78">
        <v>7</v>
      </c>
      <c r="E7" s="78">
        <v>5</v>
      </c>
      <c r="F7" s="78">
        <f>AVERAGE(D7:E7)+7</f>
        <v>13</v>
      </c>
      <c r="G7" s="79">
        <v>200000</v>
      </c>
      <c r="H7" s="80"/>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E07D9-DE52-4B5E-9380-E9605B3BE1D1}">
  <dimension ref="A1:I74"/>
  <sheetViews>
    <sheetView tabSelected="1" topLeftCell="A45" workbookViewId="0">
      <selection activeCell="E50" sqref="E50:E61"/>
    </sheetView>
  </sheetViews>
  <sheetFormatPr defaultColWidth="11" defaultRowHeight="15.5" x14ac:dyDescent="0.35"/>
  <cols>
    <col min="1" max="1" width="26.90625" style="6" customWidth="1"/>
    <col min="2" max="2" width="26.453125" style="6" customWidth="1"/>
    <col min="3" max="3" width="23.1796875" style="6" customWidth="1"/>
    <col min="4" max="4" width="10.08984375" style="7" customWidth="1"/>
    <col min="5" max="5" width="21.54296875" style="6" bestFit="1" customWidth="1"/>
    <col min="6" max="6" width="18.26953125" style="9" bestFit="1" customWidth="1"/>
    <col min="7" max="7" width="12" style="6" bestFit="1" customWidth="1"/>
    <col min="8" max="8" width="10.1796875" style="10" bestFit="1" customWidth="1"/>
    <col min="9" max="9" width="13.26953125" style="6" bestFit="1" customWidth="1"/>
    <col min="10" max="16384" width="11" style="6"/>
  </cols>
  <sheetData>
    <row r="1" spans="1:9" ht="16" customHeight="1" x14ac:dyDescent="0.35">
      <c r="E1" s="8"/>
    </row>
    <row r="2" spans="1:9" ht="16" customHeight="1" x14ac:dyDescent="0.35">
      <c r="A2" s="11" t="s">
        <v>20</v>
      </c>
      <c r="E2" s="8"/>
    </row>
    <row r="3" spans="1:9" s="16" customFormat="1" ht="16" customHeight="1" x14ac:dyDescent="0.35">
      <c r="A3" s="12" t="s">
        <v>0</v>
      </c>
      <c r="B3" s="12" t="s">
        <v>1</v>
      </c>
      <c r="C3" s="12" t="s">
        <v>2</v>
      </c>
      <c r="D3" s="12" t="s">
        <v>3</v>
      </c>
      <c r="E3" s="12" t="s">
        <v>4</v>
      </c>
      <c r="F3" s="13" t="s">
        <v>5</v>
      </c>
      <c r="G3" s="14"/>
      <c r="H3" s="15"/>
    </row>
    <row r="4" spans="1:9" s="24" customFormat="1" ht="16" customHeight="1" x14ac:dyDescent="0.35">
      <c r="A4" s="17">
        <v>1</v>
      </c>
      <c r="B4" s="17" t="s">
        <v>11</v>
      </c>
      <c r="C4" s="18" t="s">
        <v>12</v>
      </c>
      <c r="D4" s="17">
        <v>17</v>
      </c>
      <c r="E4" s="19">
        <v>7589549</v>
      </c>
      <c r="F4" s="20">
        <f>D4*E4</f>
        <v>129022333</v>
      </c>
      <c r="G4" s="21"/>
      <c r="H4" s="22"/>
      <c r="I4" s="23"/>
    </row>
    <row r="5" spans="1:9" ht="16" customHeight="1" x14ac:dyDescent="0.35">
      <c r="A5" s="25">
        <v>2</v>
      </c>
      <c r="B5" s="25" t="s">
        <v>76</v>
      </c>
      <c r="C5" s="1" t="s">
        <v>15</v>
      </c>
      <c r="D5" s="25">
        <v>1</v>
      </c>
      <c r="E5" s="5">
        <v>157600000</v>
      </c>
      <c r="F5" s="4">
        <f>D5*E5</f>
        <v>157600000</v>
      </c>
      <c r="G5" s="9"/>
      <c r="H5" s="26"/>
      <c r="I5" s="27"/>
    </row>
    <row r="6" spans="1:9" ht="16" customHeight="1" x14ac:dyDescent="0.35">
      <c r="A6" s="25">
        <v>3</v>
      </c>
      <c r="B6" s="25" t="s">
        <v>21</v>
      </c>
      <c r="C6" s="1" t="s">
        <v>15</v>
      </c>
      <c r="D6" s="25">
        <v>1</v>
      </c>
      <c r="E6" s="5">
        <v>6000000</v>
      </c>
      <c r="F6" s="28">
        <f>D6*E6</f>
        <v>6000000</v>
      </c>
      <c r="G6" s="9"/>
      <c r="I6" s="29"/>
    </row>
    <row r="7" spans="1:9" ht="16" customHeight="1" x14ac:dyDescent="0.35">
      <c r="A7" s="25">
        <v>4</v>
      </c>
      <c r="B7" s="25" t="s">
        <v>22</v>
      </c>
      <c r="C7" s="1" t="s">
        <v>15</v>
      </c>
      <c r="D7" s="25">
        <v>1</v>
      </c>
      <c r="E7" s="5">
        <v>250000</v>
      </c>
      <c r="F7" s="28">
        <f t="shared" ref="F7:F16" si="0">D7*E7</f>
        <v>250000</v>
      </c>
      <c r="G7" s="9"/>
    </row>
    <row r="8" spans="1:9" ht="16" customHeight="1" x14ac:dyDescent="0.35">
      <c r="A8" s="25">
        <v>5</v>
      </c>
      <c r="B8" s="25" t="s">
        <v>14</v>
      </c>
      <c r="C8" s="1" t="s">
        <v>15</v>
      </c>
      <c r="D8" s="30">
        <v>2</v>
      </c>
      <c r="E8" s="5">
        <v>6700000</v>
      </c>
      <c r="F8" s="28">
        <f t="shared" si="0"/>
        <v>13400000</v>
      </c>
      <c r="G8" s="10"/>
    </row>
    <row r="9" spans="1:9" ht="16" customHeight="1" x14ac:dyDescent="0.35">
      <c r="A9" s="25">
        <v>6</v>
      </c>
      <c r="B9" s="25" t="s">
        <v>23</v>
      </c>
      <c r="C9" s="1" t="s">
        <v>15</v>
      </c>
      <c r="D9" s="30">
        <v>1</v>
      </c>
      <c r="E9" s="5">
        <v>950000</v>
      </c>
      <c r="F9" s="28">
        <f t="shared" si="0"/>
        <v>950000</v>
      </c>
      <c r="G9" s="10"/>
    </row>
    <row r="10" spans="1:9" ht="16" customHeight="1" x14ac:dyDescent="0.35">
      <c r="A10" s="25">
        <v>7</v>
      </c>
      <c r="B10" s="25" t="s">
        <v>24</v>
      </c>
      <c r="C10" s="1" t="s">
        <v>15</v>
      </c>
      <c r="D10" s="30">
        <v>1</v>
      </c>
      <c r="E10" s="5">
        <v>279000</v>
      </c>
      <c r="F10" s="28">
        <f t="shared" si="0"/>
        <v>279000</v>
      </c>
      <c r="G10" s="10"/>
    </row>
    <row r="11" spans="1:9" ht="16" customHeight="1" x14ac:dyDescent="0.35">
      <c r="A11" s="25">
        <v>8</v>
      </c>
      <c r="B11" s="25" t="s">
        <v>25</v>
      </c>
      <c r="C11" s="1" t="s">
        <v>15</v>
      </c>
      <c r="D11" s="30">
        <v>1</v>
      </c>
      <c r="E11" s="5">
        <v>279000</v>
      </c>
      <c r="F11" s="28">
        <f t="shared" si="0"/>
        <v>279000</v>
      </c>
      <c r="G11" s="10"/>
    </row>
    <row r="12" spans="1:9" ht="16" customHeight="1" x14ac:dyDescent="0.35">
      <c r="A12" s="25">
        <v>9</v>
      </c>
      <c r="B12" s="25" t="s">
        <v>26</v>
      </c>
      <c r="C12" s="1" t="s">
        <v>15</v>
      </c>
      <c r="D12" s="30">
        <v>1</v>
      </c>
      <c r="E12" s="5">
        <v>2575000</v>
      </c>
      <c r="F12" s="28">
        <f t="shared" si="0"/>
        <v>2575000</v>
      </c>
      <c r="G12" s="10"/>
    </row>
    <row r="13" spans="1:9" ht="16" customHeight="1" x14ac:dyDescent="0.35">
      <c r="A13" s="25">
        <v>10</v>
      </c>
      <c r="B13" s="25" t="s">
        <v>27</v>
      </c>
      <c r="C13" s="1" t="s">
        <v>15</v>
      </c>
      <c r="D13" s="30">
        <v>2</v>
      </c>
      <c r="E13" s="5">
        <v>235000</v>
      </c>
      <c r="F13" s="28">
        <f t="shared" si="0"/>
        <v>470000</v>
      </c>
      <c r="G13" s="10"/>
    </row>
    <row r="14" spans="1:9" ht="16" customHeight="1" x14ac:dyDescent="0.35">
      <c r="A14" s="25">
        <v>11</v>
      </c>
      <c r="B14" s="25" t="s">
        <v>28</v>
      </c>
      <c r="C14" s="1" t="s">
        <v>15</v>
      </c>
      <c r="D14" s="30">
        <v>1</v>
      </c>
      <c r="E14" s="5">
        <v>2419000</v>
      </c>
      <c r="F14" s="28">
        <f t="shared" si="0"/>
        <v>2419000</v>
      </c>
      <c r="G14" s="10"/>
    </row>
    <row r="15" spans="1:9" ht="16" customHeight="1" x14ac:dyDescent="0.35">
      <c r="A15" s="25">
        <v>12</v>
      </c>
      <c r="B15" s="25" t="s">
        <v>29</v>
      </c>
      <c r="C15" s="1" t="s">
        <v>15</v>
      </c>
      <c r="D15" s="30">
        <v>1</v>
      </c>
      <c r="E15" s="5">
        <v>2799000</v>
      </c>
      <c r="F15" s="28">
        <f t="shared" si="0"/>
        <v>2799000</v>
      </c>
      <c r="G15" s="10"/>
    </row>
    <row r="16" spans="1:9" ht="16" customHeight="1" x14ac:dyDescent="0.35">
      <c r="A16" s="25">
        <v>13</v>
      </c>
      <c r="B16" s="25" t="s">
        <v>30</v>
      </c>
      <c r="C16" s="1" t="s">
        <v>15</v>
      </c>
      <c r="D16" s="30">
        <v>2</v>
      </c>
      <c r="E16" s="5">
        <v>9875000</v>
      </c>
      <c r="F16" s="28">
        <f t="shared" si="0"/>
        <v>19750000</v>
      </c>
      <c r="G16" s="10"/>
    </row>
    <row r="17" spans="1:8" ht="16" customHeight="1" x14ac:dyDescent="0.35">
      <c r="A17" s="31" t="s">
        <v>31</v>
      </c>
      <c r="B17" s="25"/>
      <c r="C17" s="25"/>
      <c r="D17" s="25"/>
      <c r="E17" s="5"/>
      <c r="F17" s="32">
        <f>SUM(F4:F16)</f>
        <v>335793333</v>
      </c>
      <c r="G17" s="10"/>
    </row>
    <row r="18" spans="1:8" ht="16" customHeight="1" x14ac:dyDescent="0.35">
      <c r="D18" s="6"/>
      <c r="E18" s="10"/>
      <c r="G18" s="10"/>
    </row>
    <row r="19" spans="1:8" ht="16" customHeight="1" x14ac:dyDescent="0.35">
      <c r="D19" s="6"/>
      <c r="E19" s="10"/>
      <c r="G19" s="10"/>
    </row>
    <row r="20" spans="1:8" ht="16" customHeight="1" x14ac:dyDescent="0.35">
      <c r="A20" s="11" t="s">
        <v>32</v>
      </c>
      <c r="D20" s="6"/>
      <c r="E20" s="10"/>
      <c r="G20" s="10"/>
    </row>
    <row r="21" spans="1:8" s="35" customFormat="1" ht="16" customHeight="1" x14ac:dyDescent="0.35">
      <c r="A21" s="12" t="s">
        <v>0</v>
      </c>
      <c r="B21" s="12" t="s">
        <v>7</v>
      </c>
      <c r="C21" s="12" t="s">
        <v>2</v>
      </c>
      <c r="D21" s="12" t="s">
        <v>3</v>
      </c>
      <c r="E21" s="33" t="s">
        <v>4</v>
      </c>
      <c r="F21" s="13" t="s">
        <v>5</v>
      </c>
      <c r="G21" s="34"/>
      <c r="H21" s="34"/>
    </row>
    <row r="22" spans="1:8" s="35" customFormat="1" ht="16" customHeight="1" x14ac:dyDescent="0.35">
      <c r="A22" s="12" t="s">
        <v>33</v>
      </c>
      <c r="B22" s="12"/>
      <c r="C22" s="12"/>
      <c r="D22" s="12"/>
      <c r="E22" s="33"/>
      <c r="F22" s="13"/>
      <c r="G22" s="34"/>
      <c r="H22" s="34"/>
    </row>
    <row r="23" spans="1:8" ht="16" customHeight="1" x14ac:dyDescent="0.35">
      <c r="A23" s="25">
        <v>1</v>
      </c>
      <c r="B23" s="25" t="s">
        <v>34</v>
      </c>
      <c r="C23" s="25" t="s">
        <v>6</v>
      </c>
      <c r="D23" s="5">
        <v>1</v>
      </c>
      <c r="E23" s="5">
        <v>3568000</v>
      </c>
      <c r="F23" s="2">
        <f>D23*E23</f>
        <v>3568000</v>
      </c>
      <c r="G23" s="10"/>
    </row>
    <row r="24" spans="1:8" ht="16" customHeight="1" x14ac:dyDescent="0.35">
      <c r="A24" s="25">
        <v>2</v>
      </c>
      <c r="B24" s="25" t="s">
        <v>16</v>
      </c>
      <c r="C24" s="25" t="s">
        <v>13</v>
      </c>
      <c r="D24" s="36"/>
      <c r="E24" s="5">
        <f>(F5*0.125)</f>
        <v>19700000</v>
      </c>
      <c r="F24" s="2">
        <f>E24</f>
        <v>19700000</v>
      </c>
      <c r="G24" s="10"/>
    </row>
    <row r="25" spans="1:8" ht="16" customHeight="1" x14ac:dyDescent="0.35">
      <c r="A25" s="25">
        <v>5</v>
      </c>
      <c r="B25" s="25" t="s">
        <v>9</v>
      </c>
      <c r="C25" s="25" t="s">
        <v>35</v>
      </c>
      <c r="D25" s="61">
        <v>0</v>
      </c>
      <c r="E25" s="61">
        <v>900</v>
      </c>
      <c r="F25" s="62">
        <f>D25*E25*12</f>
        <v>0</v>
      </c>
      <c r="G25" s="10"/>
    </row>
    <row r="26" spans="1:8" ht="16" customHeight="1" x14ac:dyDescent="0.35">
      <c r="A26" s="25">
        <v>6</v>
      </c>
      <c r="B26" s="25" t="s">
        <v>36</v>
      </c>
      <c r="C26" s="25" t="s">
        <v>37</v>
      </c>
      <c r="D26" s="61">
        <v>0</v>
      </c>
      <c r="E26" s="61">
        <v>3400</v>
      </c>
      <c r="F26" s="62">
        <f>D26*E26*12</f>
        <v>0</v>
      </c>
      <c r="G26" s="10"/>
    </row>
    <row r="27" spans="1:8" ht="16" customHeight="1" x14ac:dyDescent="0.35">
      <c r="A27" s="66" t="s">
        <v>38</v>
      </c>
      <c r="B27" s="67"/>
      <c r="C27" s="67"/>
      <c r="D27" s="67"/>
      <c r="E27" s="68"/>
      <c r="F27" s="32">
        <f>SUM(F23:F26)</f>
        <v>23268000</v>
      </c>
      <c r="G27" s="10"/>
    </row>
    <row r="28" spans="1:8" s="11" customFormat="1" ht="16" customHeight="1" x14ac:dyDescent="0.35">
      <c r="A28" s="12" t="s">
        <v>39</v>
      </c>
      <c r="B28" s="31"/>
      <c r="C28" s="31"/>
      <c r="D28" s="37"/>
      <c r="E28" s="37"/>
      <c r="F28" s="38"/>
      <c r="G28" s="39"/>
      <c r="H28" s="39"/>
    </row>
    <row r="29" spans="1:8" ht="16" customHeight="1" x14ac:dyDescent="0.35">
      <c r="A29" s="25">
        <v>1</v>
      </c>
      <c r="B29" s="25" t="s">
        <v>8</v>
      </c>
      <c r="C29" s="25" t="s">
        <v>13</v>
      </c>
      <c r="D29" s="36">
        <v>0.1</v>
      </c>
      <c r="E29" s="5">
        <f>E24*D29</f>
        <v>1970000</v>
      </c>
      <c r="F29" s="2">
        <f>D29*E29</f>
        <v>197000</v>
      </c>
      <c r="G29" s="10"/>
    </row>
    <row r="30" spans="1:8" ht="16" customHeight="1" x14ac:dyDescent="0.35">
      <c r="A30" s="25">
        <v>2</v>
      </c>
      <c r="B30" s="25" t="s">
        <v>40</v>
      </c>
      <c r="C30" s="25" t="s">
        <v>41</v>
      </c>
      <c r="D30" s="5">
        <v>1</v>
      </c>
      <c r="E30" s="5">
        <v>6872816</v>
      </c>
      <c r="F30" s="3">
        <f>D30*E30</f>
        <v>6872816</v>
      </c>
      <c r="G30" s="10"/>
    </row>
    <row r="31" spans="1:8" ht="16" customHeight="1" x14ac:dyDescent="0.35">
      <c r="A31" s="25">
        <v>3</v>
      </c>
      <c r="B31" s="25" t="s">
        <v>61</v>
      </c>
      <c r="C31" s="25" t="s">
        <v>62</v>
      </c>
      <c r="D31" s="5">
        <v>1</v>
      </c>
      <c r="E31" s="5">
        <v>0</v>
      </c>
      <c r="F31" s="3">
        <f>(E31*256)*12</f>
        <v>0</v>
      </c>
      <c r="G31" s="10"/>
    </row>
    <row r="32" spans="1:8" ht="16" customHeight="1" x14ac:dyDescent="0.35">
      <c r="A32" s="25">
        <v>4</v>
      </c>
      <c r="B32" s="25" t="s">
        <v>42</v>
      </c>
      <c r="C32" s="25" t="s">
        <v>43</v>
      </c>
      <c r="D32" s="5">
        <v>1</v>
      </c>
      <c r="E32" s="5">
        <v>27000</v>
      </c>
      <c r="F32" s="3">
        <f>D32*E32*12</f>
        <v>324000</v>
      </c>
      <c r="G32" s="10"/>
    </row>
    <row r="33" spans="1:9" ht="16" customHeight="1" x14ac:dyDescent="0.35">
      <c r="A33" s="66" t="s">
        <v>44</v>
      </c>
      <c r="B33" s="67"/>
      <c r="C33" s="67"/>
      <c r="D33" s="67"/>
      <c r="E33" s="68"/>
      <c r="F33" s="32">
        <f>SUM(F29:F32)</f>
        <v>7393816</v>
      </c>
      <c r="G33" s="10"/>
    </row>
    <row r="34" spans="1:9" s="35" customFormat="1" ht="16" customHeight="1" x14ac:dyDescent="0.35">
      <c r="A34" s="66" t="s">
        <v>31</v>
      </c>
      <c r="B34" s="67"/>
      <c r="C34" s="67"/>
      <c r="D34" s="67"/>
      <c r="E34" s="68"/>
      <c r="F34" s="13">
        <f>F27+F33</f>
        <v>30661816</v>
      </c>
      <c r="G34" s="34"/>
      <c r="H34" s="34"/>
    </row>
    <row r="35" spans="1:9" ht="16" customHeight="1" x14ac:dyDescent="0.35">
      <c r="D35" s="6"/>
      <c r="E35" s="10"/>
      <c r="G35" s="10"/>
    </row>
    <row r="36" spans="1:9" ht="16" customHeight="1" x14ac:dyDescent="0.35">
      <c r="D36" s="6"/>
      <c r="E36" s="10"/>
      <c r="G36" s="10"/>
    </row>
    <row r="37" spans="1:9" ht="16" customHeight="1" x14ac:dyDescent="0.4">
      <c r="A37" s="69" t="s">
        <v>45</v>
      </c>
      <c r="B37" s="69"/>
      <c r="C37" s="69"/>
      <c r="D37" s="69"/>
      <c r="E37" s="40"/>
    </row>
    <row r="39" spans="1:9" ht="16" customHeight="1" x14ac:dyDescent="0.35">
      <c r="A39" s="41" t="s">
        <v>46</v>
      </c>
      <c r="B39" s="41" t="s">
        <v>47</v>
      </c>
      <c r="C39" s="41" t="s">
        <v>48</v>
      </c>
      <c r="D39" s="42"/>
      <c r="E39" s="43"/>
      <c r="F39" s="44"/>
      <c r="G39" s="45"/>
    </row>
    <row r="40" spans="1:9" ht="16" customHeight="1" x14ac:dyDescent="0.35">
      <c r="A40" s="46" t="s">
        <v>78</v>
      </c>
      <c r="B40" s="47">
        <v>0</v>
      </c>
      <c r="C40" s="48">
        <f>-F17</f>
        <v>-335793333</v>
      </c>
      <c r="D40" s="42"/>
      <c r="E40" s="43" t="s">
        <v>49</v>
      </c>
      <c r="F40" s="44"/>
      <c r="G40" s="45"/>
    </row>
    <row r="41" spans="1:9" ht="16" customHeight="1" x14ac:dyDescent="0.35">
      <c r="A41" s="46" t="s">
        <v>50</v>
      </c>
      <c r="B41" s="47">
        <v>1</v>
      </c>
      <c r="C41" s="48">
        <f>I44</f>
        <v>2600000</v>
      </c>
      <c r="D41" s="42"/>
      <c r="E41" s="49" t="s">
        <v>77</v>
      </c>
      <c r="F41" s="44"/>
      <c r="G41" s="45"/>
    </row>
    <row r="42" spans="1:9" ht="16" customHeight="1" x14ac:dyDescent="0.35">
      <c r="A42" s="46" t="s">
        <v>51</v>
      </c>
      <c r="B42" s="47">
        <v>2</v>
      </c>
      <c r="C42" s="48">
        <f>I45</f>
        <v>3800000</v>
      </c>
      <c r="D42" s="42"/>
      <c r="E42" s="49" t="s">
        <v>69</v>
      </c>
      <c r="F42" s="44"/>
      <c r="G42" s="45"/>
    </row>
    <row r="43" spans="1:9" ht="16" customHeight="1" x14ac:dyDescent="0.35">
      <c r="A43" s="46" t="s">
        <v>53</v>
      </c>
      <c r="B43" s="47">
        <v>3</v>
      </c>
      <c r="C43" s="48">
        <f t="shared" ref="C43:C45" si="1">I46</f>
        <v>5000000</v>
      </c>
      <c r="D43" s="42"/>
      <c r="E43" s="49" t="s">
        <v>52</v>
      </c>
      <c r="F43" s="44"/>
      <c r="G43" s="45"/>
    </row>
    <row r="44" spans="1:9" ht="16" customHeight="1" x14ac:dyDescent="0.35">
      <c r="A44" s="46" t="s">
        <v>54</v>
      </c>
      <c r="B44" s="47">
        <v>4</v>
      </c>
      <c r="C44" s="48">
        <f t="shared" si="1"/>
        <v>6200000</v>
      </c>
      <c r="D44" s="42"/>
      <c r="E44" s="49" t="s">
        <v>63</v>
      </c>
      <c r="F44" s="44"/>
      <c r="G44" s="50">
        <v>13</v>
      </c>
      <c r="H44" s="10">
        <v>200000</v>
      </c>
      <c r="I44" s="10">
        <f>G44*H44</f>
        <v>2600000</v>
      </c>
    </row>
    <row r="45" spans="1:9" ht="16" customHeight="1" x14ac:dyDescent="0.35">
      <c r="A45" s="46" t="s">
        <v>79</v>
      </c>
      <c r="B45" s="47">
        <v>5</v>
      </c>
      <c r="C45" s="48">
        <f t="shared" si="1"/>
        <v>7400000</v>
      </c>
      <c r="D45" s="42"/>
      <c r="E45" s="49" t="s">
        <v>64</v>
      </c>
      <c r="F45" s="44"/>
      <c r="G45" s="50">
        <v>19</v>
      </c>
      <c r="H45" s="10">
        <v>200000</v>
      </c>
      <c r="I45" s="10">
        <f t="shared" ref="I45:I48" si="2">G45*H45</f>
        <v>3800000</v>
      </c>
    </row>
    <row r="46" spans="1:9" ht="16" customHeight="1" x14ac:dyDescent="0.35">
      <c r="A46" s="51" t="s">
        <v>55</v>
      </c>
      <c r="B46" s="52"/>
      <c r="C46" s="53">
        <v>5.5E-2</v>
      </c>
      <c r="D46" s="42"/>
      <c r="E46" s="49" t="s">
        <v>65</v>
      </c>
      <c r="F46" s="44"/>
      <c r="G46" s="50">
        <v>25</v>
      </c>
      <c r="H46" s="10">
        <v>200000</v>
      </c>
      <c r="I46" s="10">
        <f t="shared" si="2"/>
        <v>5000000</v>
      </c>
    </row>
    <row r="47" spans="1:9" ht="16" customHeight="1" x14ac:dyDescent="0.35">
      <c r="A47" s="51" t="s">
        <v>56</v>
      </c>
      <c r="B47" s="52"/>
      <c r="C47" s="54">
        <f>NPV(C46,C41:C45)</f>
        <v>20803380.503832053</v>
      </c>
      <c r="D47" s="42"/>
      <c r="E47" s="49" t="s">
        <v>66</v>
      </c>
      <c r="F47" s="44"/>
      <c r="G47" s="50">
        <v>31</v>
      </c>
      <c r="H47" s="10">
        <v>200000</v>
      </c>
      <c r="I47" s="10">
        <f t="shared" si="2"/>
        <v>6200000</v>
      </c>
    </row>
    <row r="48" spans="1:9" ht="16" customHeight="1" x14ac:dyDescent="0.65">
      <c r="A48" s="51" t="s">
        <v>57</v>
      </c>
      <c r="B48" s="52"/>
      <c r="C48" s="55">
        <f>IRR(C40:C45)</f>
        <v>-0.48062504329781619</v>
      </c>
      <c r="D48" s="42"/>
      <c r="E48" s="49" t="s">
        <v>67</v>
      </c>
      <c r="F48" s="44"/>
      <c r="G48" s="81">
        <v>37</v>
      </c>
      <c r="H48" s="10">
        <v>200000</v>
      </c>
      <c r="I48" s="10">
        <f t="shared" si="2"/>
        <v>7400000</v>
      </c>
    </row>
    <row r="49" spans="1:9" ht="16" customHeight="1" x14ac:dyDescent="0.35">
      <c r="A49" s="51" t="s">
        <v>58</v>
      </c>
      <c r="B49" s="52"/>
      <c r="C49" s="56">
        <f>(C47+C52)/C52</f>
        <v>1.061952928957741</v>
      </c>
      <c r="D49" s="42"/>
      <c r="E49" s="49"/>
      <c r="F49" s="44"/>
      <c r="G49" s="50">
        <f>SUM(G44:G48)</f>
        <v>125</v>
      </c>
      <c r="I49" s="10"/>
    </row>
    <row r="50" spans="1:9" ht="16" customHeight="1" x14ac:dyDescent="0.35">
      <c r="A50" s="51" t="s">
        <v>59</v>
      </c>
      <c r="B50" s="52"/>
      <c r="C50" s="57">
        <f>B57+(C52-SUM(C41:C45))/C45</f>
        <v>46.999099054054057</v>
      </c>
      <c r="D50" s="42"/>
      <c r="E50" s="11" t="s">
        <v>68</v>
      </c>
      <c r="F50" s="44"/>
      <c r="G50" s="50"/>
      <c r="I50" s="10"/>
    </row>
    <row r="51" spans="1:9" ht="16" customHeight="1" x14ac:dyDescent="0.35">
      <c r="A51" s="41" t="s">
        <v>46</v>
      </c>
      <c r="B51" s="41" t="s">
        <v>47</v>
      </c>
      <c r="C51" s="41" t="s">
        <v>60</v>
      </c>
      <c r="D51" s="42"/>
      <c r="E51" s="6" t="s">
        <v>80</v>
      </c>
      <c r="F51" s="44"/>
      <c r="G51" s="50"/>
      <c r="I51" s="10"/>
    </row>
    <row r="52" spans="1:9" ht="16" customHeight="1" x14ac:dyDescent="0.35">
      <c r="A52" s="46" t="s">
        <v>78</v>
      </c>
      <c r="B52" s="59">
        <v>0</v>
      </c>
      <c r="C52" s="60">
        <f>-C40</f>
        <v>335793333</v>
      </c>
      <c r="D52" s="42"/>
      <c r="E52" s="6" t="s">
        <v>81</v>
      </c>
      <c r="F52" s="44"/>
      <c r="G52" s="50"/>
      <c r="I52" s="10"/>
    </row>
    <row r="53" spans="1:9" ht="16" customHeight="1" x14ac:dyDescent="0.35">
      <c r="A53" s="46" t="s">
        <v>50</v>
      </c>
      <c r="B53" s="59">
        <v>1</v>
      </c>
      <c r="C53" s="60">
        <f>+C52-C41</f>
        <v>333193333</v>
      </c>
      <c r="D53" s="42"/>
      <c r="E53" s="6" t="s">
        <v>82</v>
      </c>
      <c r="F53" s="44"/>
      <c r="G53" s="50"/>
      <c r="I53" s="10"/>
    </row>
    <row r="54" spans="1:9" ht="16" customHeight="1" x14ac:dyDescent="0.35">
      <c r="A54" s="46" t="s">
        <v>51</v>
      </c>
      <c r="B54" s="59">
        <v>2</v>
      </c>
      <c r="C54" s="60">
        <f>+C53-C42</f>
        <v>329393333</v>
      </c>
      <c r="D54" s="42"/>
      <c r="E54" s="6" t="s">
        <v>70</v>
      </c>
      <c r="F54" s="44"/>
      <c r="G54" s="50"/>
      <c r="I54" s="10"/>
    </row>
    <row r="55" spans="1:9" ht="16" customHeight="1" x14ac:dyDescent="0.35">
      <c r="A55" s="46" t="s">
        <v>53</v>
      </c>
      <c r="B55" s="59">
        <v>3</v>
      </c>
      <c r="C55" s="60">
        <f>+C54-C43</f>
        <v>324393333</v>
      </c>
      <c r="D55" s="58"/>
      <c r="E55" s="6" t="s">
        <v>83</v>
      </c>
      <c r="F55" s="44"/>
      <c r="G55" s="50"/>
      <c r="I55" s="10"/>
    </row>
    <row r="56" spans="1:9" ht="16" customHeight="1" x14ac:dyDescent="0.35">
      <c r="A56" s="46" t="s">
        <v>54</v>
      </c>
      <c r="B56" s="59">
        <v>4</v>
      </c>
      <c r="C56" s="60">
        <f>+C55-C44</f>
        <v>318193333</v>
      </c>
      <c r="D56" s="58"/>
      <c r="E56" s="6" t="s">
        <v>84</v>
      </c>
      <c r="F56" s="44"/>
      <c r="G56" s="50"/>
      <c r="I56" s="10"/>
    </row>
    <row r="57" spans="1:9" ht="16" customHeight="1" x14ac:dyDescent="0.35">
      <c r="A57" s="46" t="s">
        <v>79</v>
      </c>
      <c r="B57" s="59">
        <v>5</v>
      </c>
      <c r="C57" s="60">
        <f>+C56-C45</f>
        <v>310793333</v>
      </c>
      <c r="D57" s="58"/>
      <c r="E57" s="6" t="s">
        <v>87</v>
      </c>
      <c r="F57" s="6"/>
      <c r="H57" s="6"/>
    </row>
    <row r="58" spans="1:9" ht="16" customHeight="1" x14ac:dyDescent="0.35">
      <c r="A58" s="63"/>
      <c r="B58" s="64"/>
      <c r="C58" s="65"/>
      <c r="F58" s="6"/>
      <c r="H58" s="6"/>
    </row>
    <row r="59" spans="1:9" ht="16" customHeight="1" x14ac:dyDescent="0.35">
      <c r="A59" s="63"/>
      <c r="B59" s="64"/>
      <c r="C59" s="65"/>
      <c r="E59" s="11" t="s">
        <v>85</v>
      </c>
    </row>
    <row r="60" spans="1:9" ht="16" customHeight="1" x14ac:dyDescent="0.35">
      <c r="A60" s="63"/>
      <c r="B60" s="64"/>
      <c r="C60" s="65"/>
      <c r="E60" s="6" t="s">
        <v>86</v>
      </c>
    </row>
    <row r="61" spans="1:9" ht="16" customHeight="1" x14ac:dyDescent="0.35">
      <c r="E61" s="6" t="s">
        <v>88</v>
      </c>
    </row>
    <row r="62" spans="1:9" ht="16" customHeight="1" x14ac:dyDescent="0.35"/>
    <row r="63" spans="1:9" ht="16" customHeight="1" x14ac:dyDescent="0.35"/>
    <row r="64" spans="1:9" ht="16" customHeight="1" x14ac:dyDescent="0.35"/>
    <row r="67" ht="16" customHeight="1" x14ac:dyDescent="0.35"/>
    <row r="68" ht="16" customHeight="1" x14ac:dyDescent="0.35"/>
    <row r="69" ht="16" customHeight="1" x14ac:dyDescent="0.35"/>
    <row r="70" ht="16" customHeight="1" x14ac:dyDescent="0.35"/>
    <row r="71" ht="16" customHeight="1" x14ac:dyDescent="0.35"/>
    <row r="72" ht="16" customHeight="1" x14ac:dyDescent="0.35"/>
    <row r="73" ht="16" customHeight="1" x14ac:dyDescent="0.35"/>
    <row r="74" ht="16" customHeight="1" x14ac:dyDescent="0.35"/>
  </sheetData>
  <mergeCells count="4">
    <mergeCell ref="A27:E27"/>
    <mergeCell ref="A33:E33"/>
    <mergeCell ref="A34:E34"/>
    <mergeCell ref="A37:D3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POTENSI PASIEN BPJS</vt:lpstr>
      <vt:lpstr>ASUMSI BEP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2024-03-26T07:10:05Z</dcterms:created>
  <dcterms:modified xsi:type="dcterms:W3CDTF">2025-05-24T02:51:32Z</dcterms:modified>
</cp:coreProperties>
</file>