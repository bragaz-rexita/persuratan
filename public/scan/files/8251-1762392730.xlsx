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1. ESA\2. SURAT\3. SURAT PEMBERITAHUAN\2025\02. INTERNAL\"/>
    </mc:Choice>
  </mc:AlternateContent>
  <xr:revisionPtr revIDLastSave="0" documentId="8_{64C4E6A0-0764-4AE0-8B93-B2F0491AD6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K LAB PK" sheetId="5" r:id="rId1"/>
    <sheet name="ABK BDRS" sheetId="6" r:id="rId2"/>
  </sheets>
  <definedNames>
    <definedName name="_xlnm.Print_Area" localSheetId="0">'ABK LAB PK'!$AA$15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H29" i="5" l="1"/>
  <c r="AI29" i="5" s="1"/>
  <c r="AK29" i="5" s="1"/>
  <c r="AH28" i="5"/>
  <c r="AI28" i="5" s="1"/>
  <c r="AK28" i="5" s="1"/>
  <c r="AK31" i="5"/>
  <c r="AH30" i="5"/>
  <c r="AI30" i="5" s="1"/>
  <c r="AK30" i="5" s="1"/>
  <c r="AH31" i="5"/>
  <c r="AI31" i="5" s="1"/>
  <c r="AH32" i="5"/>
  <c r="AI32" i="5" s="1"/>
  <c r="AH27" i="5"/>
  <c r="AI27" i="5" s="1"/>
  <c r="AK27" i="5" s="1"/>
  <c r="AH25" i="5"/>
  <c r="AI25" i="5" s="1"/>
  <c r="AK25" i="5" s="1"/>
  <c r="AH26" i="5"/>
  <c r="AI26" i="5" s="1"/>
  <c r="AK26" i="5" s="1"/>
  <c r="AH24" i="5"/>
  <c r="AI24" i="5" s="1"/>
  <c r="AK24" i="5" s="1"/>
  <c r="AH23" i="5"/>
  <c r="AI23" i="5" s="1"/>
  <c r="AK23" i="5" s="1"/>
  <c r="AH6" i="6"/>
  <c r="AI6" i="6" s="1"/>
  <c r="AK6" i="6" s="1"/>
  <c r="AH5" i="6"/>
  <c r="AI5" i="6" s="1"/>
  <c r="AK5" i="6" s="1"/>
  <c r="AH4" i="6"/>
  <c r="AI4" i="6" s="1"/>
  <c r="AK4" i="6" s="1"/>
  <c r="AH3" i="6"/>
  <c r="AI3" i="6" s="1"/>
  <c r="AK3" i="6" s="1"/>
  <c r="AH22" i="5"/>
  <c r="AI22" i="5" s="1"/>
  <c r="AK22" i="5" s="1"/>
  <c r="AH21" i="5"/>
  <c r="AI21" i="5" s="1"/>
  <c r="AK21" i="5" s="1"/>
  <c r="AH20" i="5"/>
  <c r="AI20" i="5" s="1"/>
  <c r="AK20" i="5" s="1"/>
  <c r="AH19" i="5"/>
  <c r="AI19" i="5" s="1"/>
  <c r="AK19" i="5" s="1"/>
  <c r="AH18" i="5"/>
  <c r="AI18" i="5" s="1"/>
  <c r="AK18" i="5" s="1"/>
  <c r="AH17" i="5"/>
  <c r="AI17" i="5" s="1"/>
  <c r="AK17" i="5" s="1"/>
  <c r="AH16" i="5"/>
  <c r="AI16" i="5" s="1"/>
  <c r="AK16" i="5" s="1"/>
  <c r="AH15" i="5"/>
  <c r="AI15" i="5" s="1"/>
  <c r="AK15" i="5" s="1"/>
  <c r="AH14" i="5"/>
  <c r="AI14" i="5" s="1"/>
  <c r="AK14" i="5" s="1"/>
  <c r="AH13" i="5"/>
  <c r="AI13" i="5" s="1"/>
  <c r="AK13" i="5" s="1"/>
  <c r="AH12" i="5"/>
  <c r="AI12" i="5" s="1"/>
  <c r="AK12" i="5" s="1"/>
  <c r="AH11" i="5"/>
  <c r="AI11" i="5" s="1"/>
  <c r="AK11" i="5" s="1"/>
  <c r="AH10" i="5"/>
  <c r="AI10" i="5" s="1"/>
  <c r="AK10" i="5" s="1"/>
  <c r="AH9" i="5"/>
  <c r="AI9" i="5" s="1"/>
  <c r="AK9" i="5" s="1"/>
  <c r="AH8" i="5"/>
  <c r="AI8" i="5" s="1"/>
  <c r="AK8" i="5" s="1"/>
  <c r="AH7" i="5"/>
  <c r="AI7" i="5" s="1"/>
  <c r="AK7" i="5" s="1"/>
  <c r="AH6" i="5"/>
  <c r="AI6" i="5" s="1"/>
  <c r="AK6" i="5" s="1"/>
  <c r="AH5" i="5"/>
  <c r="AI5" i="5" s="1"/>
  <c r="AK5" i="5" s="1"/>
  <c r="AH4" i="5"/>
  <c r="AI4" i="5" s="1"/>
  <c r="AK4" i="5" s="1"/>
  <c r="AH3" i="5"/>
  <c r="AI3" i="5" s="1"/>
  <c r="AK3" i="5" s="1"/>
  <c r="AK32" i="5" l="1"/>
  <c r="AK34" i="5" s="1"/>
  <c r="AK36" i="5" s="1"/>
  <c r="AK8" i="6"/>
  <c r="AK10" i="6" s="1"/>
</calcChain>
</file>

<file path=xl/sharedStrings.xml><?xml version="1.0" encoding="utf-8"?>
<sst xmlns="http://schemas.openxmlformats.org/spreadsheetml/2006/main" count="59" uniqueCount="47">
  <si>
    <t>TUGAS</t>
  </si>
  <si>
    <t>JUMLAH PASIEN</t>
  </si>
  <si>
    <t>Jumlah</t>
  </si>
  <si>
    <t>Rata-rata</t>
  </si>
  <si>
    <t>Waktu yang dibutuhkan</t>
  </si>
  <si>
    <t>Menit</t>
  </si>
  <si>
    <t>Melakukan desinfektan pada alat dan meja Analisa Laboratorium</t>
  </si>
  <si>
    <t>Melakukan Pengambilan sampel pasien rawat jalan</t>
  </si>
  <si>
    <t>Edukasi pasien untuk menunggu hasil pemeriksaan sesuai dengan estimasi waktu pengerjaan</t>
  </si>
  <si>
    <t>Melakukan Pemeriksaan ECG</t>
  </si>
  <si>
    <t>Melakukan pemindahan sampel dari spuit ke tabung pemeriksaan</t>
  </si>
  <si>
    <t>Pengerjaan sampel Cito</t>
  </si>
  <si>
    <t>Memasukan Sampel  padaCentrifuge sampel yang akan dikerjakan</t>
  </si>
  <si>
    <t>Memasukkan cup sampel ke dalam alat</t>
  </si>
  <si>
    <t>Memasukkan sampel ke dalam alat Darah Lengkap</t>
  </si>
  <si>
    <t>Pembuatan Hapusan Darah</t>
  </si>
  <si>
    <t>Melakukan pemeriksaan Urine Lengkap</t>
  </si>
  <si>
    <t>Pengecatan Sediaan Hapusan Darah</t>
  </si>
  <si>
    <t>Memasukkan sampel dalam alat Elektrolit</t>
  </si>
  <si>
    <t>Memasukkan Sampel dalam alat BGA</t>
  </si>
  <si>
    <t>Melakukan pemeriksaan Feaces Lengkap</t>
  </si>
  <si>
    <t>Melakukan pengambilan sampel swab Antigen</t>
  </si>
  <si>
    <t>Menyalin hasil yang di keluarkan alat ke dalam biling RS dan print hasil</t>
  </si>
  <si>
    <t>Mencocokkan kembali hasil yang di ketik</t>
  </si>
  <si>
    <t>Menulis serah terima hasil di Excel</t>
  </si>
  <si>
    <t>Penulisan dan pelaporan nilai kritis</t>
  </si>
  <si>
    <t>Distribusi hasil pemeriksaan laboratorium ke unit lain</t>
  </si>
  <si>
    <r>
      <rPr>
        <sz val="10"/>
        <color rgb="FF1F1F1F"/>
        <rFont val="Calibri"/>
        <family val="2"/>
        <scheme val="minor"/>
      </rPr>
      <t>Keterangan :</t>
    </r>
  </si>
  <si>
    <t>Grand Total Waktu Pelayanan Per Hari</t>
  </si>
  <si>
    <t>Jam kerja</t>
  </si>
  <si>
    <t>Jumlah tenaga yang dibutuhkan Per Shift</t>
  </si>
  <si>
    <t>Melakukan Crossmatch BDRS</t>
  </si>
  <si>
    <t>Melakukan Pemeriksaan Golongan darah BDRS</t>
  </si>
  <si>
    <t>Croscek Penerimaan Labu darah Dari PMI</t>
  </si>
  <si>
    <t>Penulisan di kartu stock dan Pengisian di From Permintaan Tranfusi</t>
  </si>
  <si>
    <t>Pengecatan BTA</t>
  </si>
  <si>
    <t>Pengecatan Gram</t>
  </si>
  <si>
    <t>Pengerjaan TSH,Free T4,Tropinin I</t>
  </si>
  <si>
    <t>Pengerjaan Faal Hemosasis</t>
  </si>
  <si>
    <t>Packing TCM</t>
  </si>
  <si>
    <t>Packing PA</t>
  </si>
  <si>
    <t>QC Alat</t>
  </si>
  <si>
    <t>Pemeriksaan HBA1C</t>
  </si>
  <si>
    <t>Pemeriksaan IGM Salmonella</t>
  </si>
  <si>
    <t xml:space="preserve">Total yang dibutuhkan Pelaksana BDRS adalah 0,3  orang, dengan formasi jaga pershift orang. 
</t>
  </si>
  <si>
    <t>Total yang dibutuhkan Pelaksana Laboratorium adalah 10,2  orang, dengan formasi jaga pershift orang.   (Perhitungan di luar KARU)
P = 3  orang  S = 4  orang  M=1 orang
L = 2 orang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</si>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</sst>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charset val="134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Arial"/>
      <family val="2"/>
    </font>
    <font>
      <sz val="10"/>
      <color rgb="FF000000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1F1F1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9D1E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EE1F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tabSelected="1" zoomScale="85" zoomScaleNormal="85" zoomScaleSheetLayoutView="100" workbookViewId="0">
      <selection activeCell="AO7" sqref="AO7"/>
    </sheetView>
  </sheetViews>
  <sheetFormatPr defaultColWidth="9" defaultRowHeight="15"/>
  <cols>
    <col min="1" max="1" width="5.7109375" customWidth="1"/>
    <col min="2" max="2" width="35.7109375" customWidth="1"/>
    <col min="3" max="33" width="4.5703125" customWidth="1"/>
    <col min="34" max="36" width="8" customWidth="1"/>
    <col min="37" max="37" width="11.5703125" bestFit="1" customWidth="1"/>
  </cols>
  <sheetData>
    <row r="1" spans="1:37">
      <c r="A1" s="23" t="s">
        <v>46</v>
      </c>
      <c r="B1" s="23" t="s">
        <v>0</v>
      </c>
      <c r="C1" s="27" t="s">
        <v>1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/>
      <c r="AH1" s="25" t="s">
        <v>2</v>
      </c>
      <c r="AI1" s="25" t="s">
        <v>3</v>
      </c>
      <c r="AJ1" s="30" t="s">
        <v>4</v>
      </c>
      <c r="AK1" s="30"/>
    </row>
    <row r="2" spans="1:37">
      <c r="A2" s="23"/>
      <c r="B2" s="23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1">
        <v>31</v>
      </c>
      <c r="AH2" s="26"/>
      <c r="AI2" s="26"/>
      <c r="AJ2" s="10" t="s">
        <v>5</v>
      </c>
      <c r="AK2" s="10" t="s">
        <v>2</v>
      </c>
    </row>
    <row r="3" spans="1:37" ht="47.25" customHeight="1">
      <c r="A3" s="1">
        <v>1</v>
      </c>
      <c r="B3" s="3" t="s">
        <v>6</v>
      </c>
      <c r="C3" s="4">
        <v>33</v>
      </c>
      <c r="D3" s="4">
        <v>33</v>
      </c>
      <c r="E3" s="4">
        <v>33</v>
      </c>
      <c r="F3" s="4">
        <v>33</v>
      </c>
      <c r="G3" s="4">
        <v>33</v>
      </c>
      <c r="H3" s="4">
        <v>33</v>
      </c>
      <c r="I3" s="4">
        <v>33</v>
      </c>
      <c r="J3" s="4">
        <v>33</v>
      </c>
      <c r="K3" s="4">
        <v>33</v>
      </c>
      <c r="L3" s="4">
        <v>33</v>
      </c>
      <c r="M3" s="4">
        <v>33</v>
      </c>
      <c r="N3" s="4">
        <v>33</v>
      </c>
      <c r="O3" s="4">
        <v>33</v>
      </c>
      <c r="P3" s="4">
        <v>33</v>
      </c>
      <c r="Q3" s="4">
        <v>33</v>
      </c>
      <c r="R3" s="4">
        <v>33</v>
      </c>
      <c r="S3" s="4">
        <v>33</v>
      </c>
      <c r="T3" s="4">
        <v>33</v>
      </c>
      <c r="U3" s="4">
        <v>33</v>
      </c>
      <c r="V3" s="4">
        <v>33</v>
      </c>
      <c r="W3" s="4">
        <v>33</v>
      </c>
      <c r="X3" s="4">
        <v>33</v>
      </c>
      <c r="Y3" s="4">
        <v>33</v>
      </c>
      <c r="Z3" s="4">
        <v>33</v>
      </c>
      <c r="AA3" s="4">
        <v>33</v>
      </c>
      <c r="AB3" s="4">
        <v>33</v>
      </c>
      <c r="AC3" s="4">
        <v>33</v>
      </c>
      <c r="AD3" s="4">
        <v>33</v>
      </c>
      <c r="AE3" s="4">
        <v>33</v>
      </c>
      <c r="AF3" s="4">
        <v>33</v>
      </c>
      <c r="AG3" s="4">
        <v>33</v>
      </c>
      <c r="AH3" s="11">
        <f>SUM(C3:AG3)</f>
        <v>1023</v>
      </c>
      <c r="AI3" s="11">
        <f>SUM(AH3/31)</f>
        <v>33</v>
      </c>
      <c r="AJ3" s="12">
        <v>5</v>
      </c>
      <c r="AK3" s="12">
        <f>SUM(AI3*AJ3)</f>
        <v>165</v>
      </c>
    </row>
    <row r="4" spans="1:37" ht="36.75" customHeight="1">
      <c r="A4" s="1">
        <v>2</v>
      </c>
      <c r="B4" s="3" t="s">
        <v>7</v>
      </c>
      <c r="C4" s="4">
        <v>38</v>
      </c>
      <c r="D4" s="4">
        <v>2</v>
      </c>
      <c r="E4" s="4">
        <v>89</v>
      </c>
      <c r="F4" s="4">
        <v>65</v>
      </c>
      <c r="G4" s="4">
        <v>65</v>
      </c>
      <c r="H4" s="4">
        <v>77</v>
      </c>
      <c r="I4" s="4">
        <v>40</v>
      </c>
      <c r="J4" s="4">
        <v>35</v>
      </c>
      <c r="K4" s="4">
        <v>29</v>
      </c>
      <c r="L4" s="4">
        <v>50</v>
      </c>
      <c r="M4" s="4">
        <v>65</v>
      </c>
      <c r="N4" s="4">
        <v>57</v>
      </c>
      <c r="O4" s="4">
        <v>67</v>
      </c>
      <c r="P4" s="4">
        <v>35</v>
      </c>
      <c r="Q4" s="4">
        <v>33</v>
      </c>
      <c r="R4" s="4">
        <v>3</v>
      </c>
      <c r="S4" s="4">
        <v>60</v>
      </c>
      <c r="T4" s="4">
        <v>57</v>
      </c>
      <c r="U4" s="4">
        <v>57</v>
      </c>
      <c r="V4" s="4">
        <v>48</v>
      </c>
      <c r="W4" s="4">
        <v>27</v>
      </c>
      <c r="X4" s="4">
        <v>22</v>
      </c>
      <c r="Y4" s="4">
        <v>2</v>
      </c>
      <c r="Z4" s="4">
        <v>54</v>
      </c>
      <c r="AA4" s="4">
        <v>48</v>
      </c>
      <c r="AB4" s="4">
        <v>45</v>
      </c>
      <c r="AC4" s="4">
        <v>48</v>
      </c>
      <c r="AD4" s="4">
        <v>24</v>
      </c>
      <c r="AE4" s="4">
        <v>0</v>
      </c>
      <c r="AF4" s="4">
        <v>0</v>
      </c>
      <c r="AG4" s="4">
        <v>0</v>
      </c>
      <c r="AH4" s="11">
        <f t="shared" ref="AH4:AH22" si="0">SUM(C4:AG4)</f>
        <v>1242</v>
      </c>
      <c r="AI4" s="11">
        <f t="shared" ref="AI4:AI22" si="1">SUM(AH4/28)</f>
        <v>44.357142857142854</v>
      </c>
      <c r="AJ4" s="12">
        <v>15</v>
      </c>
      <c r="AK4" s="12">
        <f t="shared" ref="AK4:AK32" si="2">SUM(AI4*AJ4)</f>
        <v>665.35714285714278</v>
      </c>
    </row>
    <row r="5" spans="1:37" ht="40.5" customHeight="1">
      <c r="A5" s="1">
        <v>3</v>
      </c>
      <c r="B5" s="3" t="s">
        <v>8</v>
      </c>
      <c r="C5" s="4">
        <v>38</v>
      </c>
      <c r="D5" s="4">
        <v>2</v>
      </c>
      <c r="E5" s="4">
        <v>89</v>
      </c>
      <c r="F5" s="4">
        <v>65</v>
      </c>
      <c r="G5" s="4">
        <v>65</v>
      </c>
      <c r="H5" s="4">
        <v>77</v>
      </c>
      <c r="I5" s="4">
        <v>40</v>
      </c>
      <c r="J5" s="4">
        <v>35</v>
      </c>
      <c r="K5" s="4">
        <v>29</v>
      </c>
      <c r="L5" s="4">
        <v>50</v>
      </c>
      <c r="M5" s="4">
        <v>65</v>
      </c>
      <c r="N5" s="4">
        <v>57</v>
      </c>
      <c r="O5" s="4">
        <v>67</v>
      </c>
      <c r="P5" s="4">
        <v>35</v>
      </c>
      <c r="Q5" s="4">
        <v>33</v>
      </c>
      <c r="R5" s="4">
        <v>3</v>
      </c>
      <c r="S5" s="4">
        <v>60</v>
      </c>
      <c r="T5" s="4">
        <v>57</v>
      </c>
      <c r="U5" s="4">
        <v>57</v>
      </c>
      <c r="V5" s="4">
        <v>48</v>
      </c>
      <c r="W5" s="4">
        <v>27</v>
      </c>
      <c r="X5" s="4">
        <v>22</v>
      </c>
      <c r="Y5" s="4">
        <v>2</v>
      </c>
      <c r="Z5" s="4">
        <v>54</v>
      </c>
      <c r="AA5" s="4">
        <v>48</v>
      </c>
      <c r="AB5" s="4">
        <v>45</v>
      </c>
      <c r="AC5" s="4">
        <v>48</v>
      </c>
      <c r="AD5" s="4">
        <v>24</v>
      </c>
      <c r="AE5" s="4">
        <v>0</v>
      </c>
      <c r="AF5" s="4">
        <v>0</v>
      </c>
      <c r="AG5" s="4">
        <v>0</v>
      </c>
      <c r="AH5" s="11">
        <f t="shared" si="0"/>
        <v>1242</v>
      </c>
      <c r="AI5" s="11">
        <f t="shared" si="1"/>
        <v>44.357142857142854</v>
      </c>
      <c r="AJ5" s="12">
        <v>5</v>
      </c>
      <c r="AK5" s="12">
        <f t="shared" si="2"/>
        <v>221.78571428571428</v>
      </c>
    </row>
    <row r="6" spans="1:37" ht="28.5" customHeight="1">
      <c r="A6" s="1">
        <v>4</v>
      </c>
      <c r="B6" s="3" t="s">
        <v>9</v>
      </c>
      <c r="C6" s="4">
        <v>4</v>
      </c>
      <c r="D6" s="4">
        <v>5</v>
      </c>
      <c r="E6" s="4">
        <v>7</v>
      </c>
      <c r="F6" s="4">
        <v>6</v>
      </c>
      <c r="G6" s="4">
        <v>4</v>
      </c>
      <c r="H6" s="4">
        <v>9</v>
      </c>
      <c r="I6" s="4">
        <v>8</v>
      </c>
      <c r="J6" s="4">
        <v>4</v>
      </c>
      <c r="K6" s="4">
        <v>8</v>
      </c>
      <c r="L6" s="4">
        <v>7</v>
      </c>
      <c r="M6" s="4">
        <v>10</v>
      </c>
      <c r="N6" s="4">
        <v>9</v>
      </c>
      <c r="O6" s="4">
        <v>8</v>
      </c>
      <c r="P6" s="4">
        <v>6</v>
      </c>
      <c r="Q6" s="4">
        <v>7</v>
      </c>
      <c r="R6" s="4">
        <v>5</v>
      </c>
      <c r="S6" s="4">
        <v>12</v>
      </c>
      <c r="T6" s="4">
        <v>8</v>
      </c>
      <c r="U6" s="4">
        <v>7</v>
      </c>
      <c r="V6" s="4">
        <v>8</v>
      </c>
      <c r="W6" s="4">
        <v>7</v>
      </c>
      <c r="X6" s="4">
        <v>8</v>
      </c>
      <c r="Y6" s="4">
        <v>0</v>
      </c>
      <c r="Z6" s="4">
        <v>12</v>
      </c>
      <c r="AA6" s="4">
        <v>11</v>
      </c>
      <c r="AB6" s="4">
        <v>6</v>
      </c>
      <c r="AC6" s="4">
        <v>7</v>
      </c>
      <c r="AD6" s="4">
        <v>9</v>
      </c>
      <c r="AE6" s="4">
        <v>0</v>
      </c>
      <c r="AF6" s="4">
        <v>0</v>
      </c>
      <c r="AG6" s="4">
        <v>0</v>
      </c>
      <c r="AH6" s="11">
        <f t="shared" si="0"/>
        <v>202</v>
      </c>
      <c r="AI6" s="11">
        <f t="shared" si="1"/>
        <v>7.2142857142857144</v>
      </c>
      <c r="AJ6" s="12">
        <v>10</v>
      </c>
      <c r="AK6" s="12">
        <f t="shared" si="2"/>
        <v>72.142857142857139</v>
      </c>
    </row>
    <row r="7" spans="1:37" ht="45" customHeight="1">
      <c r="A7" s="1">
        <v>5</v>
      </c>
      <c r="B7" s="3" t="s">
        <v>10</v>
      </c>
      <c r="C7" s="4">
        <v>38</v>
      </c>
      <c r="D7" s="4">
        <v>2</v>
      </c>
      <c r="E7" s="4">
        <v>89</v>
      </c>
      <c r="F7" s="4">
        <v>65</v>
      </c>
      <c r="G7" s="4">
        <v>65</v>
      </c>
      <c r="H7" s="4">
        <v>77</v>
      </c>
      <c r="I7" s="4">
        <v>40</v>
      </c>
      <c r="J7" s="4">
        <v>35</v>
      </c>
      <c r="K7" s="4">
        <v>29</v>
      </c>
      <c r="L7" s="4">
        <v>50</v>
      </c>
      <c r="M7" s="4">
        <v>65</v>
      </c>
      <c r="N7" s="4">
        <v>57</v>
      </c>
      <c r="O7" s="4">
        <v>67</v>
      </c>
      <c r="P7" s="4">
        <v>35</v>
      </c>
      <c r="Q7" s="4">
        <v>33</v>
      </c>
      <c r="R7" s="4">
        <v>3</v>
      </c>
      <c r="S7" s="4">
        <v>60</v>
      </c>
      <c r="T7" s="4">
        <v>57</v>
      </c>
      <c r="U7" s="4">
        <v>57</v>
      </c>
      <c r="V7" s="4">
        <v>48</v>
      </c>
      <c r="W7" s="4">
        <v>27</v>
      </c>
      <c r="X7" s="4">
        <v>22</v>
      </c>
      <c r="Y7" s="4">
        <v>2</v>
      </c>
      <c r="Z7" s="4">
        <v>54</v>
      </c>
      <c r="AA7" s="4">
        <v>48</v>
      </c>
      <c r="AB7" s="4">
        <v>45</v>
      </c>
      <c r="AC7" s="4">
        <v>48</v>
      </c>
      <c r="AD7" s="4">
        <v>24</v>
      </c>
      <c r="AE7" s="4">
        <v>0</v>
      </c>
      <c r="AF7" s="4">
        <v>0</v>
      </c>
      <c r="AG7" s="4">
        <v>0</v>
      </c>
      <c r="AH7" s="11">
        <f t="shared" si="0"/>
        <v>1242</v>
      </c>
      <c r="AI7" s="11">
        <f t="shared" si="1"/>
        <v>44.357142857142854</v>
      </c>
      <c r="AJ7" s="12">
        <v>3</v>
      </c>
      <c r="AK7" s="12">
        <f t="shared" si="2"/>
        <v>133.07142857142856</v>
      </c>
    </row>
    <row r="8" spans="1:37" ht="33.75" customHeight="1">
      <c r="A8" s="1">
        <v>6</v>
      </c>
      <c r="B8" s="5" t="s">
        <v>11</v>
      </c>
      <c r="C8" s="4">
        <v>8</v>
      </c>
      <c r="D8" s="4">
        <v>7</v>
      </c>
      <c r="E8" s="4">
        <v>12</v>
      </c>
      <c r="F8" s="4">
        <v>15</v>
      </c>
      <c r="G8" s="4">
        <v>13</v>
      </c>
      <c r="H8" s="4">
        <v>13</v>
      </c>
      <c r="I8" s="4">
        <v>9</v>
      </c>
      <c r="J8" s="4">
        <v>9</v>
      </c>
      <c r="K8" s="4">
        <v>10</v>
      </c>
      <c r="L8" s="4">
        <v>6</v>
      </c>
      <c r="M8" s="4">
        <v>4</v>
      </c>
      <c r="N8" s="4">
        <v>8</v>
      </c>
      <c r="O8" s="4">
        <v>4</v>
      </c>
      <c r="P8" s="4">
        <v>11</v>
      </c>
      <c r="Q8" s="4">
        <v>9</v>
      </c>
      <c r="R8" s="4">
        <v>7</v>
      </c>
      <c r="S8" s="4">
        <v>9</v>
      </c>
      <c r="T8" s="4">
        <v>12</v>
      </c>
      <c r="U8" s="4">
        <v>6</v>
      </c>
      <c r="V8" s="4">
        <v>12</v>
      </c>
      <c r="W8" s="4">
        <v>11</v>
      </c>
      <c r="X8" s="4">
        <v>8</v>
      </c>
      <c r="Y8" s="4">
        <v>0</v>
      </c>
      <c r="Z8" s="4">
        <v>15</v>
      </c>
      <c r="AA8" s="4">
        <v>10</v>
      </c>
      <c r="AB8" s="4">
        <v>6</v>
      </c>
      <c r="AC8" s="4">
        <v>8</v>
      </c>
      <c r="AD8" s="4">
        <v>9</v>
      </c>
      <c r="AE8" s="4">
        <v>0</v>
      </c>
      <c r="AF8" s="4">
        <v>0</v>
      </c>
      <c r="AG8" s="4">
        <v>0</v>
      </c>
      <c r="AH8" s="11">
        <f t="shared" si="0"/>
        <v>251</v>
      </c>
      <c r="AI8" s="11">
        <f t="shared" si="1"/>
        <v>8.9642857142857135</v>
      </c>
      <c r="AJ8" s="12">
        <v>20</v>
      </c>
      <c r="AK8" s="12">
        <f t="shared" si="2"/>
        <v>179.28571428571428</v>
      </c>
    </row>
    <row r="9" spans="1:37" ht="48" customHeight="1">
      <c r="A9" s="1">
        <v>7</v>
      </c>
      <c r="B9" s="5" t="s">
        <v>12</v>
      </c>
      <c r="C9" s="4">
        <v>120</v>
      </c>
      <c r="D9" s="4">
        <v>71</v>
      </c>
      <c r="E9" s="4">
        <v>161</v>
      </c>
      <c r="F9" s="4">
        <v>161</v>
      </c>
      <c r="G9" s="4">
        <v>146</v>
      </c>
      <c r="H9" s="4">
        <v>167</v>
      </c>
      <c r="I9" s="4">
        <v>120</v>
      </c>
      <c r="J9" s="4">
        <v>106</v>
      </c>
      <c r="K9" s="4">
        <v>87</v>
      </c>
      <c r="L9" s="4">
        <v>145</v>
      </c>
      <c r="M9" s="4">
        <v>156</v>
      </c>
      <c r="N9" s="4">
        <v>151</v>
      </c>
      <c r="O9" s="4">
        <v>147</v>
      </c>
      <c r="P9" s="4">
        <v>115</v>
      </c>
      <c r="Q9" s="4">
        <v>103</v>
      </c>
      <c r="R9" s="4">
        <v>72</v>
      </c>
      <c r="S9" s="4">
        <v>146</v>
      </c>
      <c r="T9" s="4">
        <v>171</v>
      </c>
      <c r="U9" s="4">
        <v>148</v>
      </c>
      <c r="V9" s="4">
        <v>117</v>
      </c>
      <c r="W9" s="4">
        <v>119</v>
      </c>
      <c r="X9" s="4">
        <v>106</v>
      </c>
      <c r="Y9" s="4">
        <v>84</v>
      </c>
      <c r="Z9" s="4">
        <v>127</v>
      </c>
      <c r="AA9" s="4">
        <v>149</v>
      </c>
      <c r="AB9" s="4">
        <v>133</v>
      </c>
      <c r="AC9" s="4">
        <v>130</v>
      </c>
      <c r="AD9" s="4">
        <v>121</v>
      </c>
      <c r="AE9" s="4">
        <v>79</v>
      </c>
      <c r="AF9" s="4">
        <v>68</v>
      </c>
      <c r="AG9" s="4">
        <v>33</v>
      </c>
      <c r="AH9" s="11">
        <f t="shared" si="0"/>
        <v>3759</v>
      </c>
      <c r="AI9" s="11">
        <f t="shared" si="1"/>
        <v>134.25</v>
      </c>
      <c r="AJ9" s="12">
        <v>5</v>
      </c>
      <c r="AK9" s="12">
        <f t="shared" si="2"/>
        <v>671.25</v>
      </c>
    </row>
    <row r="10" spans="1:37" ht="37.5" customHeight="1">
      <c r="A10" s="1">
        <v>8</v>
      </c>
      <c r="B10" s="3" t="s">
        <v>13</v>
      </c>
      <c r="C10" s="4">
        <v>120</v>
      </c>
      <c r="D10" s="4">
        <v>71</v>
      </c>
      <c r="E10" s="4">
        <v>161</v>
      </c>
      <c r="F10" s="4">
        <v>161</v>
      </c>
      <c r="G10" s="4">
        <v>146</v>
      </c>
      <c r="H10" s="4">
        <v>167</v>
      </c>
      <c r="I10" s="4">
        <v>120</v>
      </c>
      <c r="J10" s="4">
        <v>106</v>
      </c>
      <c r="K10" s="4">
        <v>87</v>
      </c>
      <c r="L10" s="4">
        <v>145</v>
      </c>
      <c r="M10" s="4">
        <v>156</v>
      </c>
      <c r="N10" s="4">
        <v>151</v>
      </c>
      <c r="O10" s="4">
        <v>147</v>
      </c>
      <c r="P10" s="4">
        <v>115</v>
      </c>
      <c r="Q10" s="4">
        <v>103</v>
      </c>
      <c r="R10" s="4">
        <v>72</v>
      </c>
      <c r="S10" s="4">
        <v>146</v>
      </c>
      <c r="T10" s="4">
        <v>171</v>
      </c>
      <c r="U10" s="4">
        <v>148</v>
      </c>
      <c r="V10" s="4">
        <v>117</v>
      </c>
      <c r="W10" s="4">
        <v>119</v>
      </c>
      <c r="X10" s="4">
        <v>106</v>
      </c>
      <c r="Y10" s="4">
        <v>84</v>
      </c>
      <c r="Z10" s="4">
        <v>127</v>
      </c>
      <c r="AA10" s="4">
        <v>149</v>
      </c>
      <c r="AB10" s="4">
        <v>133</v>
      </c>
      <c r="AC10" s="4">
        <v>130</v>
      </c>
      <c r="AD10" s="4">
        <v>121</v>
      </c>
      <c r="AE10" s="4">
        <v>79</v>
      </c>
      <c r="AF10" s="4">
        <v>68</v>
      </c>
      <c r="AG10" s="4">
        <v>33</v>
      </c>
      <c r="AH10" s="11">
        <f t="shared" si="0"/>
        <v>3759</v>
      </c>
      <c r="AI10" s="11">
        <f t="shared" si="1"/>
        <v>134.25</v>
      </c>
      <c r="AJ10" s="12">
        <v>5</v>
      </c>
      <c r="AK10" s="12">
        <f t="shared" si="2"/>
        <v>671.25</v>
      </c>
    </row>
    <row r="11" spans="1:37" ht="36.75" customHeight="1">
      <c r="A11" s="1">
        <v>9</v>
      </c>
      <c r="B11" s="3" t="s">
        <v>14</v>
      </c>
      <c r="C11" s="4">
        <v>53</v>
      </c>
      <c r="D11" s="4">
        <v>48</v>
      </c>
      <c r="E11" s="4">
        <v>58</v>
      </c>
      <c r="F11" s="4">
        <v>81</v>
      </c>
      <c r="G11" s="4">
        <v>66</v>
      </c>
      <c r="H11" s="4">
        <v>59</v>
      </c>
      <c r="I11" s="4">
        <v>58</v>
      </c>
      <c r="J11" s="4">
        <v>50</v>
      </c>
      <c r="K11" s="4">
        <v>49</v>
      </c>
      <c r="L11" s="4">
        <v>69</v>
      </c>
      <c r="M11" s="4">
        <v>82</v>
      </c>
      <c r="N11" s="4">
        <v>73</v>
      </c>
      <c r="O11" s="4">
        <v>70</v>
      </c>
      <c r="P11" s="4">
        <v>46</v>
      </c>
      <c r="Q11" s="4">
        <v>60</v>
      </c>
      <c r="R11" s="4">
        <v>48</v>
      </c>
      <c r="S11" s="4">
        <v>55</v>
      </c>
      <c r="T11" s="4">
        <v>69</v>
      </c>
      <c r="U11" s="4">
        <v>53</v>
      </c>
      <c r="V11" s="4">
        <v>55</v>
      </c>
      <c r="W11" s="4">
        <v>59</v>
      </c>
      <c r="X11" s="4">
        <v>57</v>
      </c>
      <c r="Y11" s="4">
        <v>54</v>
      </c>
      <c r="Z11" s="4">
        <v>56</v>
      </c>
      <c r="AA11" s="4">
        <v>62</v>
      </c>
      <c r="AB11" s="4">
        <v>59</v>
      </c>
      <c r="AC11" s="4">
        <v>60</v>
      </c>
      <c r="AD11" s="4">
        <v>57</v>
      </c>
      <c r="AE11" s="4">
        <v>49</v>
      </c>
      <c r="AF11" s="4">
        <v>46</v>
      </c>
      <c r="AG11" s="4">
        <v>31</v>
      </c>
      <c r="AH11" s="11">
        <f t="shared" si="0"/>
        <v>1792</v>
      </c>
      <c r="AI11" s="11">
        <f t="shared" si="1"/>
        <v>64</v>
      </c>
      <c r="AJ11" s="12">
        <v>3</v>
      </c>
      <c r="AK11" s="12">
        <f t="shared" si="2"/>
        <v>192</v>
      </c>
    </row>
    <row r="12" spans="1:37" ht="27" customHeight="1">
      <c r="A12" s="1">
        <v>10</v>
      </c>
      <c r="B12" s="3" t="s">
        <v>15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2</v>
      </c>
      <c r="AA12" s="4">
        <v>0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4">
        <v>0</v>
      </c>
      <c r="AH12" s="11">
        <f t="shared" si="0"/>
        <v>6</v>
      </c>
      <c r="AI12" s="11">
        <f t="shared" si="1"/>
        <v>0.21428571428571427</v>
      </c>
      <c r="AJ12" s="12">
        <v>30</v>
      </c>
      <c r="AK12" s="12">
        <f t="shared" si="2"/>
        <v>6.4285714285714279</v>
      </c>
    </row>
    <row r="13" spans="1:37" ht="35.25" customHeight="1">
      <c r="A13" s="1">
        <v>11</v>
      </c>
      <c r="B13" s="3" t="s">
        <v>16</v>
      </c>
      <c r="C13" s="4">
        <v>25</v>
      </c>
      <c r="D13" s="4">
        <v>3</v>
      </c>
      <c r="E13" s="4">
        <v>19</v>
      </c>
      <c r="F13" s="4">
        <v>7</v>
      </c>
      <c r="G13" s="4">
        <v>11</v>
      </c>
      <c r="H13" s="4">
        <v>13</v>
      </c>
      <c r="I13" s="4">
        <v>18</v>
      </c>
      <c r="J13" s="4">
        <v>15</v>
      </c>
      <c r="K13" s="4">
        <v>11</v>
      </c>
      <c r="L13" s="4">
        <v>17</v>
      </c>
      <c r="M13" s="4">
        <v>12</v>
      </c>
      <c r="N13" s="4">
        <v>5</v>
      </c>
      <c r="O13" s="4">
        <v>11</v>
      </c>
      <c r="P13" s="4">
        <v>11</v>
      </c>
      <c r="Q13" s="4">
        <v>15</v>
      </c>
      <c r="R13" s="4">
        <v>6</v>
      </c>
      <c r="S13" s="4">
        <v>18</v>
      </c>
      <c r="T13" s="4">
        <v>23</v>
      </c>
      <c r="U13" s="4">
        <v>15</v>
      </c>
      <c r="V13" s="4">
        <v>13</v>
      </c>
      <c r="W13" s="4">
        <v>8</v>
      </c>
      <c r="X13" s="4">
        <v>13</v>
      </c>
      <c r="Y13" s="4">
        <v>8</v>
      </c>
      <c r="Z13" s="4">
        <v>8</v>
      </c>
      <c r="AA13" s="4">
        <v>14</v>
      </c>
      <c r="AB13" s="4">
        <v>15</v>
      </c>
      <c r="AC13" s="4">
        <v>13</v>
      </c>
      <c r="AD13" s="4">
        <v>1</v>
      </c>
      <c r="AE13" s="4">
        <v>4</v>
      </c>
      <c r="AF13" s="4">
        <v>3</v>
      </c>
      <c r="AG13" s="4">
        <v>1</v>
      </c>
      <c r="AH13" s="11">
        <f t="shared" si="0"/>
        <v>356</v>
      </c>
      <c r="AI13" s="11">
        <f t="shared" si="1"/>
        <v>12.714285714285714</v>
      </c>
      <c r="AJ13" s="12">
        <v>15</v>
      </c>
      <c r="AK13" s="12">
        <f t="shared" si="2"/>
        <v>190.71428571428569</v>
      </c>
    </row>
    <row r="14" spans="1:37" ht="24.75" customHeight="1">
      <c r="A14" s="1">
        <v>12</v>
      </c>
      <c r="B14" s="3" t="s">
        <v>17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2</v>
      </c>
      <c r="AA14" s="4">
        <v>0</v>
      </c>
      <c r="AB14" s="4">
        <v>0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11">
        <f t="shared" si="0"/>
        <v>6</v>
      </c>
      <c r="AI14" s="11">
        <f t="shared" si="1"/>
        <v>0.21428571428571427</v>
      </c>
      <c r="AJ14" s="12">
        <v>30</v>
      </c>
      <c r="AK14" s="12">
        <f t="shared" si="2"/>
        <v>6.4285714285714279</v>
      </c>
    </row>
    <row r="15" spans="1:37" ht="35.25" customHeight="1">
      <c r="A15" s="1">
        <v>13</v>
      </c>
      <c r="B15" s="3" t="s">
        <v>18</v>
      </c>
      <c r="C15" s="4">
        <v>3</v>
      </c>
      <c r="D15" s="4">
        <v>3</v>
      </c>
      <c r="E15" s="4">
        <v>5</v>
      </c>
      <c r="F15" s="4">
        <v>12</v>
      </c>
      <c r="G15" s="4">
        <v>10</v>
      </c>
      <c r="H15" s="4">
        <v>6</v>
      </c>
      <c r="I15" s="4">
        <v>7</v>
      </c>
      <c r="J15" s="4">
        <v>11</v>
      </c>
      <c r="K15" s="4">
        <v>6</v>
      </c>
      <c r="L15" s="4">
        <v>10</v>
      </c>
      <c r="M15" s="4">
        <v>3</v>
      </c>
      <c r="N15" s="4">
        <v>3</v>
      </c>
      <c r="O15" s="4">
        <v>6</v>
      </c>
      <c r="P15" s="4">
        <v>4</v>
      </c>
      <c r="Q15" s="4">
        <v>5</v>
      </c>
      <c r="R15" s="4">
        <v>11</v>
      </c>
      <c r="S15" s="4">
        <v>9</v>
      </c>
      <c r="T15" s="4">
        <v>11</v>
      </c>
      <c r="U15" s="4">
        <v>9</v>
      </c>
      <c r="V15" s="4">
        <v>6</v>
      </c>
      <c r="W15" s="4">
        <v>5</v>
      </c>
      <c r="X15" s="4">
        <v>7</v>
      </c>
      <c r="Y15" s="4">
        <v>5</v>
      </c>
      <c r="Z15" s="4">
        <v>11</v>
      </c>
      <c r="AA15" s="4">
        <v>15</v>
      </c>
      <c r="AB15" s="4">
        <v>5</v>
      </c>
      <c r="AC15" s="4">
        <v>8</v>
      </c>
      <c r="AD15" s="4">
        <v>5</v>
      </c>
      <c r="AE15" s="4">
        <v>7</v>
      </c>
      <c r="AF15" s="4">
        <v>8</v>
      </c>
      <c r="AG15" s="4">
        <v>4</v>
      </c>
      <c r="AH15" s="11">
        <f t="shared" si="0"/>
        <v>220</v>
      </c>
      <c r="AI15" s="11">
        <f t="shared" si="1"/>
        <v>7.8571428571428568</v>
      </c>
      <c r="AJ15" s="12">
        <v>5</v>
      </c>
      <c r="AK15" s="12">
        <f t="shared" si="2"/>
        <v>39.285714285714285</v>
      </c>
    </row>
    <row r="16" spans="1:37" ht="21.75" customHeight="1">
      <c r="A16" s="1">
        <v>14</v>
      </c>
      <c r="B16" s="3" t="s">
        <v>19</v>
      </c>
      <c r="C16" s="4">
        <v>1</v>
      </c>
      <c r="D16" s="4">
        <v>0</v>
      </c>
      <c r="E16" s="4">
        <v>2</v>
      </c>
      <c r="F16" s="4">
        <v>1</v>
      </c>
      <c r="G16" s="4">
        <v>1</v>
      </c>
      <c r="H16" s="4">
        <v>1</v>
      </c>
      <c r="I16" s="4">
        <v>0</v>
      </c>
      <c r="J16" s="4">
        <v>0</v>
      </c>
      <c r="K16" s="4">
        <v>1</v>
      </c>
      <c r="L16" s="4">
        <v>1</v>
      </c>
      <c r="M16" s="4">
        <v>1</v>
      </c>
      <c r="N16" s="4">
        <v>1</v>
      </c>
      <c r="O16" s="4">
        <v>0</v>
      </c>
      <c r="P16" s="4">
        <v>1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  <c r="W16" s="4">
        <v>1</v>
      </c>
      <c r="X16" s="4">
        <v>2</v>
      </c>
      <c r="Y16" s="4">
        <v>1</v>
      </c>
      <c r="Z16" s="4">
        <v>0</v>
      </c>
      <c r="AA16" s="4">
        <v>3</v>
      </c>
      <c r="AB16" s="4">
        <v>0</v>
      </c>
      <c r="AC16" s="4">
        <v>0</v>
      </c>
      <c r="AD16" s="4">
        <v>1</v>
      </c>
      <c r="AE16" s="4">
        <v>2</v>
      </c>
      <c r="AF16" s="4">
        <v>1</v>
      </c>
      <c r="AG16" s="4">
        <v>0</v>
      </c>
      <c r="AH16" s="11">
        <f t="shared" si="0"/>
        <v>23</v>
      </c>
      <c r="AI16" s="11">
        <f t="shared" si="1"/>
        <v>0.8214285714285714</v>
      </c>
      <c r="AJ16" s="12">
        <v>3</v>
      </c>
      <c r="AK16" s="12">
        <f t="shared" si="2"/>
        <v>2.4642857142857144</v>
      </c>
    </row>
    <row r="17" spans="1:37" ht="37.5" customHeight="1">
      <c r="A17" s="1">
        <v>15</v>
      </c>
      <c r="B17" s="3" t="s">
        <v>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1</v>
      </c>
      <c r="O17" s="4">
        <v>2</v>
      </c>
      <c r="P17" s="4">
        <v>0</v>
      </c>
      <c r="Q17" s="4">
        <v>1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11">
        <f t="shared" si="0"/>
        <v>8</v>
      </c>
      <c r="AI17" s="11">
        <f t="shared" si="1"/>
        <v>0.2857142857142857</v>
      </c>
      <c r="AJ17" s="12">
        <v>10</v>
      </c>
      <c r="AK17" s="12">
        <f t="shared" si="2"/>
        <v>2.8571428571428568</v>
      </c>
    </row>
    <row r="18" spans="1:37" ht="31.5" customHeight="1">
      <c r="A18" s="1">
        <v>16</v>
      </c>
      <c r="B18" s="3" t="s">
        <v>21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11">
        <f t="shared" si="0"/>
        <v>2</v>
      </c>
      <c r="AI18" s="11">
        <f t="shared" si="1"/>
        <v>7.1428571428571425E-2</v>
      </c>
      <c r="AJ18" s="12">
        <v>15</v>
      </c>
      <c r="AK18" s="12">
        <f t="shared" si="2"/>
        <v>1.0714285714285714</v>
      </c>
    </row>
    <row r="19" spans="1:37" ht="37.5" customHeight="1">
      <c r="A19" s="1">
        <v>17</v>
      </c>
      <c r="B19" s="3" t="s">
        <v>22</v>
      </c>
      <c r="C19" s="4">
        <v>29</v>
      </c>
      <c r="D19" s="4">
        <v>37</v>
      </c>
      <c r="E19" s="4">
        <v>49</v>
      </c>
      <c r="F19" s="4">
        <v>62</v>
      </c>
      <c r="G19" s="4">
        <v>69</v>
      </c>
      <c r="H19" s="4">
        <v>61</v>
      </c>
      <c r="I19" s="4">
        <v>51</v>
      </c>
      <c r="J19" s="4">
        <v>54</v>
      </c>
      <c r="K19" s="4">
        <v>40</v>
      </c>
      <c r="L19" s="4">
        <v>65</v>
      </c>
      <c r="M19" s="4">
        <v>51</v>
      </c>
      <c r="N19" s="4">
        <v>91</v>
      </c>
      <c r="O19" s="4">
        <v>60</v>
      </c>
      <c r="P19" s="4">
        <v>57</v>
      </c>
      <c r="Q19" s="4">
        <v>66</v>
      </c>
      <c r="R19" s="4">
        <v>51</v>
      </c>
      <c r="S19" s="4">
        <v>65</v>
      </c>
      <c r="T19" s="4">
        <v>71</v>
      </c>
      <c r="U19" s="4">
        <v>48</v>
      </c>
      <c r="V19" s="4">
        <v>66</v>
      </c>
      <c r="W19" s="4">
        <v>53</v>
      </c>
      <c r="X19" s="4">
        <v>60</v>
      </c>
      <c r="Y19" s="4">
        <v>54</v>
      </c>
      <c r="Z19" s="4">
        <v>53</v>
      </c>
      <c r="AA19" s="4">
        <v>63</v>
      </c>
      <c r="AB19" s="4">
        <v>56</v>
      </c>
      <c r="AC19" s="4">
        <v>60</v>
      </c>
      <c r="AD19" s="4">
        <v>70</v>
      </c>
      <c r="AE19" s="4">
        <v>34</v>
      </c>
      <c r="AF19" s="4">
        <v>43</v>
      </c>
      <c r="AG19" s="4">
        <v>16</v>
      </c>
      <c r="AH19" s="11">
        <f t="shared" si="0"/>
        <v>1705</v>
      </c>
      <c r="AI19" s="11">
        <f t="shared" si="1"/>
        <v>60.892857142857146</v>
      </c>
      <c r="AJ19" s="12">
        <v>6</v>
      </c>
      <c r="AK19" s="12">
        <f t="shared" si="2"/>
        <v>365.35714285714289</v>
      </c>
    </row>
    <row r="20" spans="1:37" ht="27.75" customHeight="1">
      <c r="A20" s="1">
        <v>18</v>
      </c>
      <c r="B20" s="3" t="s">
        <v>23</v>
      </c>
      <c r="C20" s="4">
        <v>29</v>
      </c>
      <c r="D20" s="4">
        <v>37</v>
      </c>
      <c r="E20" s="4">
        <v>49</v>
      </c>
      <c r="F20" s="4">
        <v>62</v>
      </c>
      <c r="G20" s="4">
        <v>69</v>
      </c>
      <c r="H20" s="4">
        <v>61</v>
      </c>
      <c r="I20" s="4">
        <v>51</v>
      </c>
      <c r="J20" s="4">
        <v>54</v>
      </c>
      <c r="K20" s="4">
        <v>40</v>
      </c>
      <c r="L20" s="4">
        <v>65</v>
      </c>
      <c r="M20" s="4">
        <v>51</v>
      </c>
      <c r="N20" s="4">
        <v>91</v>
      </c>
      <c r="O20" s="4">
        <v>60</v>
      </c>
      <c r="P20" s="4">
        <v>57</v>
      </c>
      <c r="Q20" s="4">
        <v>66</v>
      </c>
      <c r="R20" s="4">
        <v>51</v>
      </c>
      <c r="S20" s="4">
        <v>65</v>
      </c>
      <c r="T20" s="4">
        <v>71</v>
      </c>
      <c r="U20" s="4">
        <v>48</v>
      </c>
      <c r="V20" s="4">
        <v>66</v>
      </c>
      <c r="W20" s="4">
        <v>53</v>
      </c>
      <c r="X20" s="4">
        <v>60</v>
      </c>
      <c r="Y20" s="4">
        <v>54</v>
      </c>
      <c r="Z20" s="4">
        <v>53</v>
      </c>
      <c r="AA20" s="4">
        <v>63</v>
      </c>
      <c r="AB20" s="4">
        <v>56</v>
      </c>
      <c r="AC20" s="4">
        <v>60</v>
      </c>
      <c r="AD20" s="4">
        <v>70</v>
      </c>
      <c r="AE20" s="4">
        <v>34</v>
      </c>
      <c r="AF20" s="4">
        <v>43</v>
      </c>
      <c r="AG20" s="4">
        <v>16</v>
      </c>
      <c r="AH20" s="11">
        <f t="shared" si="0"/>
        <v>1705</v>
      </c>
      <c r="AI20" s="11">
        <f t="shared" si="1"/>
        <v>60.892857142857146</v>
      </c>
      <c r="AJ20" s="12">
        <v>6</v>
      </c>
      <c r="AK20" s="12">
        <f t="shared" si="2"/>
        <v>365.35714285714289</v>
      </c>
    </row>
    <row r="21" spans="1:37" ht="24" customHeight="1">
      <c r="A21" s="1">
        <v>19</v>
      </c>
      <c r="B21" s="3" t="s">
        <v>24</v>
      </c>
      <c r="C21" s="4">
        <v>29</v>
      </c>
      <c r="D21" s="4">
        <v>37</v>
      </c>
      <c r="E21" s="4">
        <v>49</v>
      </c>
      <c r="F21" s="4">
        <v>62</v>
      </c>
      <c r="G21" s="4">
        <v>69</v>
      </c>
      <c r="H21" s="4">
        <v>61</v>
      </c>
      <c r="I21" s="4">
        <v>51</v>
      </c>
      <c r="J21" s="4">
        <v>54</v>
      </c>
      <c r="K21" s="4">
        <v>40</v>
      </c>
      <c r="L21" s="4">
        <v>65</v>
      </c>
      <c r="M21" s="4">
        <v>51</v>
      </c>
      <c r="N21" s="4">
        <v>91</v>
      </c>
      <c r="O21" s="4">
        <v>60</v>
      </c>
      <c r="P21" s="4">
        <v>57</v>
      </c>
      <c r="Q21" s="4">
        <v>66</v>
      </c>
      <c r="R21" s="4">
        <v>51</v>
      </c>
      <c r="S21" s="4">
        <v>65</v>
      </c>
      <c r="T21" s="4">
        <v>71</v>
      </c>
      <c r="U21" s="4">
        <v>48</v>
      </c>
      <c r="V21" s="4">
        <v>66</v>
      </c>
      <c r="W21" s="4">
        <v>53</v>
      </c>
      <c r="X21" s="4">
        <v>60</v>
      </c>
      <c r="Y21" s="4">
        <v>54</v>
      </c>
      <c r="Z21" s="4">
        <v>53</v>
      </c>
      <c r="AA21" s="4">
        <v>63</v>
      </c>
      <c r="AB21" s="4">
        <v>56</v>
      </c>
      <c r="AC21" s="4">
        <v>60</v>
      </c>
      <c r="AD21" s="4">
        <v>70</v>
      </c>
      <c r="AE21" s="4">
        <v>34</v>
      </c>
      <c r="AF21" s="4">
        <v>43</v>
      </c>
      <c r="AG21" s="4">
        <v>16</v>
      </c>
      <c r="AH21" s="11">
        <f t="shared" si="0"/>
        <v>1705</v>
      </c>
      <c r="AI21" s="11">
        <f t="shared" si="1"/>
        <v>60.892857142857146</v>
      </c>
      <c r="AJ21" s="12">
        <v>5</v>
      </c>
      <c r="AK21" s="12">
        <f t="shared" si="2"/>
        <v>304.46428571428572</v>
      </c>
    </row>
    <row r="22" spans="1:37" ht="24.75" customHeight="1">
      <c r="A22" s="1">
        <v>20</v>
      </c>
      <c r="B22" s="3" t="s">
        <v>25</v>
      </c>
      <c r="C22" s="4">
        <v>6</v>
      </c>
      <c r="D22" s="4">
        <v>6</v>
      </c>
      <c r="E22" s="4">
        <v>6</v>
      </c>
      <c r="F22" s="4">
        <v>12</v>
      </c>
      <c r="G22" s="4">
        <v>11</v>
      </c>
      <c r="H22" s="4">
        <v>5</v>
      </c>
      <c r="I22" s="4">
        <v>8</v>
      </c>
      <c r="J22" s="4">
        <v>6</v>
      </c>
      <c r="K22" s="4">
        <v>9</v>
      </c>
      <c r="L22" s="4">
        <v>4</v>
      </c>
      <c r="M22" s="4">
        <v>3</v>
      </c>
      <c r="N22" s="4">
        <v>8</v>
      </c>
      <c r="O22" s="4">
        <v>6</v>
      </c>
      <c r="P22" s="4">
        <v>10</v>
      </c>
      <c r="Q22" s="4">
        <v>5</v>
      </c>
      <c r="R22" s="4">
        <v>7</v>
      </c>
      <c r="S22" s="4">
        <v>8</v>
      </c>
      <c r="T22" s="4">
        <v>8</v>
      </c>
      <c r="U22" s="4">
        <v>10</v>
      </c>
      <c r="V22" s="4">
        <v>8</v>
      </c>
      <c r="W22" s="4">
        <v>4</v>
      </c>
      <c r="X22" s="4">
        <v>10</v>
      </c>
      <c r="Y22" s="4">
        <v>10</v>
      </c>
      <c r="Z22" s="4">
        <v>11</v>
      </c>
      <c r="AA22" s="4">
        <v>13</v>
      </c>
      <c r="AB22" s="4">
        <v>11</v>
      </c>
      <c r="AC22" s="4">
        <v>3</v>
      </c>
      <c r="AD22" s="4">
        <v>14</v>
      </c>
      <c r="AE22" s="4">
        <v>15</v>
      </c>
      <c r="AF22" s="4">
        <v>13</v>
      </c>
      <c r="AG22" s="4">
        <v>3</v>
      </c>
      <c r="AH22" s="11">
        <f t="shared" si="0"/>
        <v>253</v>
      </c>
      <c r="AI22" s="11">
        <f t="shared" si="1"/>
        <v>9.0357142857142865</v>
      </c>
      <c r="AJ22" s="12">
        <v>5</v>
      </c>
      <c r="AK22" s="12">
        <f t="shared" si="2"/>
        <v>45.178571428571431</v>
      </c>
    </row>
    <row r="23" spans="1:37" ht="24.75" customHeight="1">
      <c r="A23" s="1">
        <v>21</v>
      </c>
      <c r="B23" s="3" t="s">
        <v>26</v>
      </c>
      <c r="C23" s="4">
        <v>29</v>
      </c>
      <c r="D23" s="4">
        <v>37</v>
      </c>
      <c r="E23" s="4">
        <v>49</v>
      </c>
      <c r="F23" s="4">
        <v>62</v>
      </c>
      <c r="G23" s="4">
        <v>69</v>
      </c>
      <c r="H23" s="4">
        <v>61</v>
      </c>
      <c r="I23" s="4">
        <v>51</v>
      </c>
      <c r="J23" s="4">
        <v>54</v>
      </c>
      <c r="K23" s="4">
        <v>40</v>
      </c>
      <c r="L23" s="4">
        <v>65</v>
      </c>
      <c r="M23" s="4">
        <v>51</v>
      </c>
      <c r="N23" s="4">
        <v>91</v>
      </c>
      <c r="O23" s="4">
        <v>60</v>
      </c>
      <c r="P23" s="4">
        <v>57</v>
      </c>
      <c r="Q23" s="4">
        <v>66</v>
      </c>
      <c r="R23" s="4">
        <v>51</v>
      </c>
      <c r="S23" s="4">
        <v>65</v>
      </c>
      <c r="T23" s="4">
        <v>71</v>
      </c>
      <c r="U23" s="4">
        <v>48</v>
      </c>
      <c r="V23" s="4">
        <v>66</v>
      </c>
      <c r="W23" s="4">
        <v>53</v>
      </c>
      <c r="X23" s="4">
        <v>60</v>
      </c>
      <c r="Y23" s="4">
        <v>54</v>
      </c>
      <c r="Z23" s="4">
        <v>53</v>
      </c>
      <c r="AA23" s="4">
        <v>63</v>
      </c>
      <c r="AB23" s="4">
        <v>56</v>
      </c>
      <c r="AC23" s="4">
        <v>60</v>
      </c>
      <c r="AD23" s="4">
        <v>70</v>
      </c>
      <c r="AE23" s="4">
        <v>34</v>
      </c>
      <c r="AF23" s="4">
        <v>43</v>
      </c>
      <c r="AG23" s="4">
        <v>16</v>
      </c>
      <c r="AH23" s="11">
        <f t="shared" ref="AH23:AH26" si="3">SUM(C23:AG23)</f>
        <v>1705</v>
      </c>
      <c r="AI23" s="11">
        <f t="shared" ref="AI23:AI26" si="4">SUM(AH23/28)</f>
        <v>60.892857142857146</v>
      </c>
      <c r="AJ23" s="12">
        <v>7</v>
      </c>
      <c r="AK23" s="12">
        <f t="shared" ref="AK23:AK31" si="5">SUM(AI23*AJ23)</f>
        <v>426.25</v>
      </c>
    </row>
    <row r="24" spans="1:37" ht="24.75" customHeight="1">
      <c r="A24" s="1">
        <v>22</v>
      </c>
      <c r="B24" s="3" t="s">
        <v>35</v>
      </c>
      <c r="C24" s="4">
        <v>1</v>
      </c>
      <c r="D24" s="4">
        <v>0</v>
      </c>
      <c r="E24" s="4">
        <v>0</v>
      </c>
      <c r="F24" s="4">
        <v>2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1</v>
      </c>
      <c r="P24" s="4">
        <v>2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</v>
      </c>
      <c r="AE24" s="4">
        <v>1</v>
      </c>
      <c r="AF24" s="4">
        <v>0</v>
      </c>
      <c r="AG24" s="4">
        <v>0</v>
      </c>
      <c r="AH24" s="11">
        <f t="shared" si="3"/>
        <v>14</v>
      </c>
      <c r="AI24" s="11">
        <f t="shared" si="4"/>
        <v>0.5</v>
      </c>
      <c r="AJ24" s="12">
        <v>15</v>
      </c>
      <c r="AK24" s="12">
        <f t="shared" si="5"/>
        <v>7.5</v>
      </c>
    </row>
    <row r="25" spans="1:37" ht="24.75" customHeight="1">
      <c r="A25" s="1">
        <v>23</v>
      </c>
      <c r="B25" s="3" t="s">
        <v>36</v>
      </c>
      <c r="C25" s="4">
        <v>0</v>
      </c>
      <c r="D25" s="4">
        <v>0</v>
      </c>
      <c r="E25" s="4">
        <v>1</v>
      </c>
      <c r="F25" s="4">
        <v>0</v>
      </c>
      <c r="G25" s="4">
        <v>1</v>
      </c>
      <c r="H25" s="4">
        <v>0</v>
      </c>
      <c r="I25" s="4">
        <v>1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</v>
      </c>
      <c r="U25" s="4">
        <v>1</v>
      </c>
      <c r="V25" s="4">
        <v>1</v>
      </c>
      <c r="W25" s="4">
        <v>0</v>
      </c>
      <c r="X25" s="4">
        <v>0</v>
      </c>
      <c r="Y25" s="4">
        <v>2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11">
        <f t="shared" si="3"/>
        <v>10</v>
      </c>
      <c r="AI25" s="11">
        <f t="shared" si="4"/>
        <v>0.35714285714285715</v>
      </c>
      <c r="AJ25" s="12">
        <v>20</v>
      </c>
      <c r="AK25" s="12">
        <f t="shared" si="5"/>
        <v>7.1428571428571432</v>
      </c>
    </row>
    <row r="26" spans="1:37" ht="24.75" customHeight="1">
      <c r="A26" s="1">
        <v>24</v>
      </c>
      <c r="B26" s="3" t="s">
        <v>37</v>
      </c>
      <c r="C26" s="4">
        <v>2</v>
      </c>
      <c r="D26" s="4">
        <v>0</v>
      </c>
      <c r="E26" s="4">
        <v>3</v>
      </c>
      <c r="F26" s="4">
        <v>4</v>
      </c>
      <c r="G26" s="4">
        <v>4</v>
      </c>
      <c r="H26" s="4">
        <v>2</v>
      </c>
      <c r="I26" s="4">
        <v>3</v>
      </c>
      <c r="J26" s="4">
        <v>6</v>
      </c>
      <c r="K26" s="4">
        <v>4</v>
      </c>
      <c r="L26" s="4">
        <v>4</v>
      </c>
      <c r="M26" s="4">
        <v>1</v>
      </c>
      <c r="N26" s="4">
        <v>4</v>
      </c>
      <c r="O26" s="4">
        <v>1</v>
      </c>
      <c r="P26" s="4">
        <v>1</v>
      </c>
      <c r="Q26" s="4">
        <v>0</v>
      </c>
      <c r="R26" s="4">
        <v>1</v>
      </c>
      <c r="S26" s="4">
        <v>5</v>
      </c>
      <c r="T26" s="4">
        <v>5</v>
      </c>
      <c r="U26" s="4">
        <v>4</v>
      </c>
      <c r="V26" s="4">
        <v>4</v>
      </c>
      <c r="W26" s="4">
        <v>4</v>
      </c>
      <c r="X26" s="4">
        <v>3</v>
      </c>
      <c r="Y26" s="4">
        <v>0</v>
      </c>
      <c r="Z26" s="4">
        <v>6</v>
      </c>
      <c r="AA26" s="4">
        <v>10</v>
      </c>
      <c r="AB26" s="4">
        <v>2</v>
      </c>
      <c r="AC26" s="4">
        <v>2</v>
      </c>
      <c r="AD26" s="4">
        <v>4</v>
      </c>
      <c r="AE26" s="4">
        <v>0</v>
      </c>
      <c r="AF26" s="4">
        <v>1</v>
      </c>
      <c r="AG26" s="4">
        <v>2</v>
      </c>
      <c r="AH26" s="11">
        <f t="shared" si="3"/>
        <v>92</v>
      </c>
      <c r="AI26" s="11">
        <f t="shared" si="4"/>
        <v>3.2857142857142856</v>
      </c>
      <c r="AJ26" s="12">
        <v>5</v>
      </c>
      <c r="AK26" s="12">
        <f t="shared" si="5"/>
        <v>16.428571428571427</v>
      </c>
    </row>
    <row r="27" spans="1:37" ht="24.75" customHeight="1">
      <c r="A27" s="1">
        <v>25</v>
      </c>
      <c r="B27" s="3" t="s">
        <v>38</v>
      </c>
      <c r="C27" s="4">
        <v>12</v>
      </c>
      <c r="D27" s="4">
        <v>33</v>
      </c>
      <c r="E27" s="4">
        <v>25</v>
      </c>
      <c r="F27" s="4">
        <v>35</v>
      </c>
      <c r="G27" s="4">
        <v>24</v>
      </c>
      <c r="H27" s="4">
        <v>35</v>
      </c>
      <c r="I27" s="4">
        <v>22</v>
      </c>
      <c r="J27" s="4">
        <v>13</v>
      </c>
      <c r="K27" s="4">
        <v>26</v>
      </c>
      <c r="L27" s="4">
        <v>26</v>
      </c>
      <c r="M27" s="4">
        <v>29</v>
      </c>
      <c r="N27" s="4">
        <v>40</v>
      </c>
      <c r="O27" s="4">
        <v>32</v>
      </c>
      <c r="P27" s="4">
        <v>21</v>
      </c>
      <c r="Q27" s="4">
        <v>13</v>
      </c>
      <c r="R27" s="4">
        <v>20</v>
      </c>
      <c r="S27" s="4">
        <v>19</v>
      </c>
      <c r="T27" s="4">
        <v>30</v>
      </c>
      <c r="U27" s="4">
        <v>21</v>
      </c>
      <c r="V27" s="4">
        <v>13</v>
      </c>
      <c r="W27" s="4">
        <v>26</v>
      </c>
      <c r="X27" s="4">
        <v>19</v>
      </c>
      <c r="Y27" s="4">
        <v>20</v>
      </c>
      <c r="Z27" s="4">
        <v>25</v>
      </c>
      <c r="AA27" s="4">
        <v>35</v>
      </c>
      <c r="AB27" s="4">
        <v>26</v>
      </c>
      <c r="AC27" s="4">
        <v>29</v>
      </c>
      <c r="AD27" s="4">
        <v>14</v>
      </c>
      <c r="AE27" s="4">
        <v>9</v>
      </c>
      <c r="AF27" s="4">
        <v>11</v>
      </c>
      <c r="AG27" s="4">
        <v>6</v>
      </c>
      <c r="AH27" s="11">
        <f t="shared" ref="AH27:AH32" si="6">SUM(C27:AG27)</f>
        <v>709</v>
      </c>
      <c r="AI27" s="11">
        <f t="shared" ref="AI27:AI32" si="7">SUM(AH27/28)</f>
        <v>25.321428571428573</v>
      </c>
      <c r="AJ27" s="12">
        <v>5</v>
      </c>
      <c r="AK27" s="12">
        <f t="shared" si="5"/>
        <v>126.60714285714286</v>
      </c>
    </row>
    <row r="28" spans="1:37" ht="24.75" customHeight="1">
      <c r="A28" s="1"/>
      <c r="B28" s="3" t="s">
        <v>42</v>
      </c>
      <c r="C28" s="4">
        <v>16</v>
      </c>
      <c r="D28" s="4">
        <v>2</v>
      </c>
      <c r="E28" s="4">
        <v>13</v>
      </c>
      <c r="F28" s="4">
        <v>2</v>
      </c>
      <c r="G28" s="4">
        <v>2</v>
      </c>
      <c r="H28" s="4">
        <v>4</v>
      </c>
      <c r="I28" s="4">
        <v>8</v>
      </c>
      <c r="J28" s="4">
        <v>9</v>
      </c>
      <c r="K28" s="4">
        <v>3</v>
      </c>
      <c r="L28" s="4">
        <v>9</v>
      </c>
      <c r="M28" s="4">
        <v>4</v>
      </c>
      <c r="N28" s="4">
        <v>4</v>
      </c>
      <c r="O28" s="4">
        <v>6</v>
      </c>
      <c r="P28" s="4">
        <v>3</v>
      </c>
      <c r="Q28" s="4">
        <v>7</v>
      </c>
      <c r="R28" s="4">
        <v>2</v>
      </c>
      <c r="S28" s="4">
        <v>11</v>
      </c>
      <c r="T28" s="4">
        <v>11</v>
      </c>
      <c r="U28" s="4">
        <v>8</v>
      </c>
      <c r="V28" s="4">
        <v>2</v>
      </c>
      <c r="W28" s="4">
        <v>7</v>
      </c>
      <c r="X28" s="4">
        <v>5</v>
      </c>
      <c r="Y28" s="4">
        <v>0</v>
      </c>
      <c r="Z28" s="4">
        <v>2</v>
      </c>
      <c r="AA28" s="4">
        <v>6</v>
      </c>
      <c r="AB28" s="4">
        <v>10</v>
      </c>
      <c r="AC28" s="4">
        <v>6</v>
      </c>
      <c r="AD28" s="4">
        <v>2</v>
      </c>
      <c r="AE28" s="4">
        <v>0</v>
      </c>
      <c r="AF28" s="4">
        <v>3</v>
      </c>
      <c r="AG28" s="4">
        <v>0</v>
      </c>
      <c r="AH28" s="11">
        <f t="shared" si="6"/>
        <v>167</v>
      </c>
      <c r="AI28" s="11">
        <f t="shared" si="7"/>
        <v>5.9642857142857144</v>
      </c>
      <c r="AJ28" s="12">
        <v>5</v>
      </c>
      <c r="AK28" s="12">
        <f t="shared" si="5"/>
        <v>29.821428571428573</v>
      </c>
    </row>
    <row r="29" spans="1:37" ht="24.75" customHeight="1">
      <c r="A29" s="1"/>
      <c r="B29" s="3" t="s">
        <v>43</v>
      </c>
      <c r="C29" s="4">
        <v>12</v>
      </c>
      <c r="D29" s="4">
        <v>7</v>
      </c>
      <c r="E29" s="4">
        <v>10</v>
      </c>
      <c r="F29" s="4">
        <v>14</v>
      </c>
      <c r="G29" s="4">
        <v>7</v>
      </c>
      <c r="H29" s="4">
        <v>11</v>
      </c>
      <c r="I29" s="4">
        <v>7</v>
      </c>
      <c r="J29" s="4">
        <v>4</v>
      </c>
      <c r="K29" s="4">
        <v>11</v>
      </c>
      <c r="L29" s="4">
        <v>13</v>
      </c>
      <c r="M29" s="4">
        <v>16</v>
      </c>
      <c r="N29" s="4">
        <v>10</v>
      </c>
      <c r="O29" s="4">
        <v>12</v>
      </c>
      <c r="P29" s="4">
        <v>10</v>
      </c>
      <c r="Q29" s="4">
        <v>17</v>
      </c>
      <c r="R29" s="4">
        <v>9</v>
      </c>
      <c r="S29" s="4">
        <v>9</v>
      </c>
      <c r="T29" s="4">
        <v>9</v>
      </c>
      <c r="U29" s="4">
        <v>10</v>
      </c>
      <c r="V29" s="4">
        <v>11</v>
      </c>
      <c r="W29" s="4">
        <v>10</v>
      </c>
      <c r="X29" s="4">
        <v>6</v>
      </c>
      <c r="Y29" s="4">
        <v>12</v>
      </c>
      <c r="Z29" s="4">
        <v>6</v>
      </c>
      <c r="AA29" s="4">
        <v>5</v>
      </c>
      <c r="AB29" s="4">
        <v>17</v>
      </c>
      <c r="AC29" s="4">
        <v>12</v>
      </c>
      <c r="AD29" s="4">
        <v>11</v>
      </c>
      <c r="AE29" s="4">
        <v>10</v>
      </c>
      <c r="AF29" s="4">
        <v>10</v>
      </c>
      <c r="AG29" s="4">
        <v>5</v>
      </c>
      <c r="AH29" s="11">
        <f>SUM(C29:AG29)</f>
        <v>313</v>
      </c>
      <c r="AI29" s="11">
        <f t="shared" si="7"/>
        <v>11.178571428571429</v>
      </c>
      <c r="AJ29" s="12">
        <v>5</v>
      </c>
      <c r="AK29" s="12">
        <f t="shared" si="5"/>
        <v>55.892857142857146</v>
      </c>
    </row>
    <row r="30" spans="1:37" ht="24.75" customHeight="1">
      <c r="A30" s="1">
        <v>26</v>
      </c>
      <c r="B30" s="3" t="s">
        <v>41</v>
      </c>
      <c r="C30" s="4">
        <v>2</v>
      </c>
      <c r="D30" s="4">
        <v>2</v>
      </c>
      <c r="E30" s="4">
        <v>2</v>
      </c>
      <c r="F30" s="4">
        <v>2</v>
      </c>
      <c r="G30" s="4">
        <v>2</v>
      </c>
      <c r="H30" s="4">
        <v>2</v>
      </c>
      <c r="I30" s="4">
        <v>2</v>
      </c>
      <c r="J30" s="4">
        <v>2</v>
      </c>
      <c r="K30" s="4">
        <v>2</v>
      </c>
      <c r="L30" s="4">
        <v>2</v>
      </c>
      <c r="M30" s="4">
        <v>2</v>
      </c>
      <c r="N30" s="4">
        <v>2</v>
      </c>
      <c r="O30" s="4">
        <v>2</v>
      </c>
      <c r="P30" s="4">
        <v>2</v>
      </c>
      <c r="Q30" s="4">
        <v>2</v>
      </c>
      <c r="R30" s="4">
        <v>2</v>
      </c>
      <c r="S30" s="4">
        <v>2</v>
      </c>
      <c r="T30" s="4">
        <v>2</v>
      </c>
      <c r="U30" s="4">
        <v>2</v>
      </c>
      <c r="V30" s="4">
        <v>2</v>
      </c>
      <c r="W30" s="4">
        <v>2</v>
      </c>
      <c r="X30" s="4">
        <v>2</v>
      </c>
      <c r="Y30" s="4">
        <v>2</v>
      </c>
      <c r="Z30" s="4">
        <v>2</v>
      </c>
      <c r="AA30" s="4">
        <v>2</v>
      </c>
      <c r="AB30" s="4">
        <v>2</v>
      </c>
      <c r="AC30" s="4">
        <v>2</v>
      </c>
      <c r="AD30" s="4">
        <v>2</v>
      </c>
      <c r="AE30" s="4">
        <v>2</v>
      </c>
      <c r="AF30" s="4">
        <v>2</v>
      </c>
      <c r="AG30" s="4">
        <v>2</v>
      </c>
      <c r="AH30" s="11">
        <f>SUM(C30:AG30)</f>
        <v>62</v>
      </c>
      <c r="AI30" s="11">
        <f t="shared" si="7"/>
        <v>2.2142857142857144</v>
      </c>
      <c r="AJ30" s="12">
        <v>10</v>
      </c>
      <c r="AK30" s="12">
        <f t="shared" si="5"/>
        <v>22.142857142857146</v>
      </c>
    </row>
    <row r="31" spans="1:37" ht="24.75" customHeight="1">
      <c r="A31" s="1">
        <v>27</v>
      </c>
      <c r="B31" s="3" t="s">
        <v>39</v>
      </c>
      <c r="C31" s="4">
        <v>0</v>
      </c>
      <c r="D31" s="4">
        <v>2</v>
      </c>
      <c r="E31" s="4">
        <v>0</v>
      </c>
      <c r="F31" s="4">
        <v>4</v>
      </c>
      <c r="G31" s="4">
        <v>0</v>
      </c>
      <c r="H31" s="4">
        <v>0</v>
      </c>
      <c r="I31" s="4">
        <v>0</v>
      </c>
      <c r="J31" s="4">
        <v>2</v>
      </c>
      <c r="K31" s="4">
        <v>2</v>
      </c>
      <c r="L31" s="4">
        <v>0</v>
      </c>
      <c r="M31" s="4">
        <v>0</v>
      </c>
      <c r="N31" s="4">
        <v>0</v>
      </c>
      <c r="O31" s="4">
        <v>8</v>
      </c>
      <c r="P31" s="4">
        <v>0</v>
      </c>
      <c r="Q31" s="4">
        <v>0</v>
      </c>
      <c r="R31" s="4">
        <v>0</v>
      </c>
      <c r="S31" s="4">
        <v>2</v>
      </c>
      <c r="T31" s="4">
        <v>0</v>
      </c>
      <c r="U31" s="4">
        <v>2</v>
      </c>
      <c r="V31" s="4">
        <v>2</v>
      </c>
      <c r="W31" s="4">
        <v>2</v>
      </c>
      <c r="X31" s="4">
        <v>6</v>
      </c>
      <c r="Y31" s="4">
        <v>4</v>
      </c>
      <c r="Z31" s="4">
        <v>0</v>
      </c>
      <c r="AA31" s="4">
        <v>0</v>
      </c>
      <c r="AB31" s="4">
        <v>4</v>
      </c>
      <c r="AC31" s="4">
        <v>0</v>
      </c>
      <c r="AD31" s="4">
        <v>2</v>
      </c>
      <c r="AE31" s="4">
        <v>0</v>
      </c>
      <c r="AF31" s="4">
        <v>4</v>
      </c>
      <c r="AG31" s="4">
        <v>0</v>
      </c>
      <c r="AH31" s="11">
        <f t="shared" si="6"/>
        <v>46</v>
      </c>
      <c r="AI31" s="11">
        <f t="shared" si="7"/>
        <v>1.6428571428571428</v>
      </c>
      <c r="AJ31" s="12">
        <v>5</v>
      </c>
      <c r="AK31" s="12">
        <f t="shared" si="5"/>
        <v>8.2142857142857135</v>
      </c>
    </row>
    <row r="32" spans="1:37" ht="42" customHeight="1">
      <c r="A32" s="1">
        <v>28</v>
      </c>
      <c r="B32" s="3" t="s">
        <v>40</v>
      </c>
      <c r="C32" s="4">
        <v>7</v>
      </c>
      <c r="D32" s="4">
        <v>0</v>
      </c>
      <c r="E32" s="4">
        <v>1</v>
      </c>
      <c r="F32" s="4">
        <v>1</v>
      </c>
      <c r="G32" s="4">
        <v>1</v>
      </c>
      <c r="H32" s="4">
        <v>10</v>
      </c>
      <c r="I32" s="4">
        <v>1</v>
      </c>
      <c r="J32" s="4">
        <v>0</v>
      </c>
      <c r="K32" s="4">
        <v>3</v>
      </c>
      <c r="L32" s="4">
        <v>3</v>
      </c>
      <c r="M32" s="4">
        <v>0</v>
      </c>
      <c r="N32" s="4">
        <v>1</v>
      </c>
      <c r="O32" s="4">
        <v>1</v>
      </c>
      <c r="P32" s="4">
        <v>3</v>
      </c>
      <c r="Q32" s="4">
        <v>1</v>
      </c>
      <c r="R32" s="4">
        <v>0</v>
      </c>
      <c r="S32" s="4">
        <v>0</v>
      </c>
      <c r="T32" s="4">
        <v>1</v>
      </c>
      <c r="U32" s="4">
        <v>0</v>
      </c>
      <c r="V32" s="4">
        <v>0</v>
      </c>
      <c r="W32" s="4">
        <v>6</v>
      </c>
      <c r="X32" s="4">
        <v>1</v>
      </c>
      <c r="Y32" s="4">
        <v>1</v>
      </c>
      <c r="Z32" s="4">
        <v>3</v>
      </c>
      <c r="AA32" s="4">
        <v>1</v>
      </c>
      <c r="AB32" s="4">
        <v>2</v>
      </c>
      <c r="AC32" s="4">
        <v>2</v>
      </c>
      <c r="AD32" s="4">
        <v>1</v>
      </c>
      <c r="AE32" s="4">
        <v>0</v>
      </c>
      <c r="AF32" s="4">
        <v>0</v>
      </c>
      <c r="AG32" s="4">
        <v>0</v>
      </c>
      <c r="AH32" s="11">
        <f t="shared" si="6"/>
        <v>51</v>
      </c>
      <c r="AI32" s="11">
        <f t="shared" si="7"/>
        <v>1.8214285714285714</v>
      </c>
      <c r="AJ32" s="12">
        <v>5</v>
      </c>
      <c r="AK32" s="12">
        <f t="shared" si="2"/>
        <v>9.1071428571428577</v>
      </c>
    </row>
    <row r="33" spans="1:37">
      <c r="A33" s="24" t="s">
        <v>27</v>
      </c>
      <c r="B33" s="6"/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6"/>
      <c r="AK33" s="7"/>
    </row>
    <row r="34" spans="1:37" ht="33.75" customHeight="1">
      <c r="A34" s="24"/>
      <c r="B34" s="8" t="s">
        <v>28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9"/>
      <c r="AK34" s="13">
        <f>SUM(AK3:AK32)</f>
        <v>5009.8571428571422</v>
      </c>
    </row>
    <row r="35" spans="1:37">
      <c r="A35" s="24"/>
      <c r="B35" s="8" t="s">
        <v>29</v>
      </c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9"/>
      <c r="AK35" s="13">
        <v>1440</v>
      </c>
    </row>
    <row r="36" spans="1:37" ht="22.5" customHeight="1">
      <c r="A36" s="24"/>
      <c r="B36" s="8" t="s">
        <v>30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9"/>
      <c r="AK36" s="13">
        <f>SUM(AK34/AK35)</f>
        <v>3.4790674603174598</v>
      </c>
    </row>
    <row r="37" spans="1:37" ht="86.25" customHeight="1">
      <c r="A37" s="24"/>
      <c r="B37" s="9" t="s">
        <v>45</v>
      </c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2"/>
      <c r="AK37" s="7"/>
    </row>
  </sheetData>
  <mergeCells count="8">
    <mergeCell ref="C33:AJ37"/>
    <mergeCell ref="A1:A2"/>
    <mergeCell ref="A33:A37"/>
    <mergeCell ref="B1:B2"/>
    <mergeCell ref="AH1:AH2"/>
    <mergeCell ref="AI1:AI2"/>
    <mergeCell ref="C1:AG1"/>
    <mergeCell ref="AJ1:AK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3EFB-B80E-4CE3-9F91-4B393E08D401}">
  <dimension ref="A1:AK23"/>
  <sheetViews>
    <sheetView workbookViewId="0">
      <selection activeCell="B11" sqref="B11"/>
    </sheetView>
  </sheetViews>
  <sheetFormatPr defaultRowHeight="15"/>
  <cols>
    <col min="2" max="2" width="65.85546875" customWidth="1"/>
    <col min="3" max="3" width="4.5703125" customWidth="1"/>
    <col min="4" max="4" width="3.42578125" customWidth="1"/>
    <col min="5" max="5" width="3.85546875" customWidth="1"/>
    <col min="6" max="6" width="3.140625" customWidth="1"/>
    <col min="7" max="7" width="3.5703125" customWidth="1"/>
    <col min="8" max="8" width="3.28515625" customWidth="1"/>
    <col min="9" max="9" width="2.42578125" customWidth="1"/>
    <col min="10" max="10" width="3.5703125" customWidth="1"/>
    <col min="11" max="11" width="3.85546875" customWidth="1"/>
    <col min="12" max="14" width="3.5703125" customWidth="1"/>
    <col min="15" max="15" width="3.7109375" customWidth="1"/>
    <col min="16" max="16" width="3.85546875" customWidth="1"/>
    <col min="17" max="17" width="4.140625" customWidth="1"/>
    <col min="18" max="18" width="3.28515625" customWidth="1"/>
    <col min="19" max="19" width="3.5703125" customWidth="1"/>
    <col min="20" max="20" width="4.140625" customWidth="1"/>
    <col min="21" max="21" width="4" customWidth="1"/>
    <col min="22" max="22" width="4.28515625" customWidth="1"/>
    <col min="23" max="23" width="4.42578125" customWidth="1"/>
    <col min="24" max="24" width="5" customWidth="1"/>
    <col min="25" max="25" width="4" customWidth="1"/>
    <col min="26" max="26" width="3.85546875" customWidth="1"/>
    <col min="27" max="27" width="4.5703125" customWidth="1"/>
    <col min="28" max="29" width="4.42578125" customWidth="1"/>
    <col min="30" max="30" width="3.85546875" customWidth="1"/>
    <col min="31" max="31" width="3.28515625" customWidth="1"/>
    <col min="32" max="32" width="4.5703125" customWidth="1"/>
    <col min="33" max="33" width="5.140625" customWidth="1"/>
  </cols>
  <sheetData>
    <row r="1" spans="1:37">
      <c r="A1" s="23"/>
      <c r="B1" s="31" t="s">
        <v>0</v>
      </c>
      <c r="C1" s="27" t="s">
        <v>1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/>
      <c r="AH1" s="25" t="s">
        <v>2</v>
      </c>
      <c r="AI1" s="25" t="s">
        <v>3</v>
      </c>
      <c r="AJ1" s="30" t="s">
        <v>4</v>
      </c>
      <c r="AK1" s="30"/>
    </row>
    <row r="2" spans="1:37">
      <c r="A2" s="23"/>
      <c r="B2" s="3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1">
        <v>31</v>
      </c>
      <c r="AH2" s="26"/>
      <c r="AI2" s="26"/>
      <c r="AJ2" s="10" t="s">
        <v>5</v>
      </c>
      <c r="AK2" s="10" t="s">
        <v>2</v>
      </c>
    </row>
    <row r="3" spans="1:37" ht="39" customHeight="1">
      <c r="A3" s="1">
        <v>1</v>
      </c>
      <c r="B3" s="3" t="s">
        <v>31</v>
      </c>
      <c r="C3" s="4">
        <v>1</v>
      </c>
      <c r="D3" s="4">
        <v>1</v>
      </c>
      <c r="E3" s="4">
        <v>2</v>
      </c>
      <c r="F3" s="4">
        <v>3</v>
      </c>
      <c r="G3" s="4">
        <v>1</v>
      </c>
      <c r="H3" s="4">
        <v>1</v>
      </c>
      <c r="I3" s="4">
        <v>3</v>
      </c>
      <c r="J3" s="4">
        <v>2</v>
      </c>
      <c r="K3" s="4">
        <v>3</v>
      </c>
      <c r="L3" s="4">
        <v>3</v>
      </c>
      <c r="M3" s="4">
        <v>2</v>
      </c>
      <c r="N3" s="4">
        <v>5</v>
      </c>
      <c r="O3" s="4">
        <v>3</v>
      </c>
      <c r="P3" s="4">
        <v>3</v>
      </c>
      <c r="Q3" s="4">
        <v>1</v>
      </c>
      <c r="R3" s="4">
        <v>2</v>
      </c>
      <c r="S3" s="4">
        <v>3</v>
      </c>
      <c r="T3" s="4">
        <v>1</v>
      </c>
      <c r="U3" s="4">
        <v>2</v>
      </c>
      <c r="V3" s="4">
        <v>1</v>
      </c>
      <c r="W3" s="4">
        <v>2</v>
      </c>
      <c r="X3" s="4">
        <v>4</v>
      </c>
      <c r="Y3" s="4">
        <v>5</v>
      </c>
      <c r="Z3" s="4">
        <v>2</v>
      </c>
      <c r="AA3" s="4">
        <v>0</v>
      </c>
      <c r="AB3" s="4">
        <v>2</v>
      </c>
      <c r="AC3" s="4">
        <v>2</v>
      </c>
      <c r="AD3" s="4">
        <v>0</v>
      </c>
      <c r="AE3" s="4">
        <v>1</v>
      </c>
      <c r="AF3" s="4">
        <v>1</v>
      </c>
      <c r="AG3" s="4">
        <v>4</v>
      </c>
      <c r="AH3" s="11">
        <f>SUM(C3:AG3)</f>
        <v>66</v>
      </c>
      <c r="AI3" s="11">
        <f>SUM(AH3/31)</f>
        <v>2.129032258064516</v>
      </c>
      <c r="AJ3" s="12">
        <v>45</v>
      </c>
      <c r="AK3" s="12">
        <f>SUM(AI3*AJ3)</f>
        <v>95.806451612903217</v>
      </c>
    </row>
    <row r="4" spans="1:37" ht="30" customHeight="1">
      <c r="A4" s="1">
        <v>2</v>
      </c>
      <c r="B4" s="3" t="s">
        <v>32</v>
      </c>
      <c r="C4" s="4">
        <v>1</v>
      </c>
      <c r="D4" s="4">
        <v>1</v>
      </c>
      <c r="E4" s="4">
        <v>2</v>
      </c>
      <c r="F4" s="4">
        <v>3</v>
      </c>
      <c r="G4" s="4">
        <v>1</v>
      </c>
      <c r="H4" s="4">
        <v>1</v>
      </c>
      <c r="I4" s="4">
        <v>3</v>
      </c>
      <c r="J4" s="4">
        <v>2</v>
      </c>
      <c r="K4" s="4">
        <v>3</v>
      </c>
      <c r="L4" s="4">
        <v>3</v>
      </c>
      <c r="M4" s="4">
        <v>2</v>
      </c>
      <c r="N4" s="4">
        <v>5</v>
      </c>
      <c r="O4" s="4">
        <v>3</v>
      </c>
      <c r="P4" s="4">
        <v>3</v>
      </c>
      <c r="Q4" s="4">
        <v>1</v>
      </c>
      <c r="R4" s="4">
        <v>2</v>
      </c>
      <c r="S4" s="4">
        <v>3</v>
      </c>
      <c r="T4" s="4">
        <v>1</v>
      </c>
      <c r="U4" s="4">
        <v>2</v>
      </c>
      <c r="V4" s="4">
        <v>1</v>
      </c>
      <c r="W4" s="4">
        <v>2</v>
      </c>
      <c r="X4" s="4">
        <v>4</v>
      </c>
      <c r="Y4" s="4">
        <v>5</v>
      </c>
      <c r="Z4" s="4">
        <v>2</v>
      </c>
      <c r="AA4" s="4">
        <v>0</v>
      </c>
      <c r="AB4" s="4">
        <v>2</v>
      </c>
      <c r="AC4" s="4">
        <v>2</v>
      </c>
      <c r="AD4" s="4">
        <v>0</v>
      </c>
      <c r="AE4" s="4">
        <v>1</v>
      </c>
      <c r="AF4" s="4">
        <v>1</v>
      </c>
      <c r="AG4" s="4">
        <v>4</v>
      </c>
      <c r="AH4" s="11">
        <f t="shared" ref="AH4:AH6" si="0">SUM(C4:AG4)</f>
        <v>66</v>
      </c>
      <c r="AI4" s="11">
        <f t="shared" ref="AI4:AI6" si="1">SUM(AH4/28)</f>
        <v>2.3571428571428572</v>
      </c>
      <c r="AJ4" s="12">
        <v>10</v>
      </c>
      <c r="AK4" s="12">
        <f t="shared" ref="AK4:AK6" si="2">SUM(AI4*AJ4)</f>
        <v>23.571428571428573</v>
      </c>
    </row>
    <row r="5" spans="1:37" ht="57" customHeight="1">
      <c r="A5" s="1">
        <v>3</v>
      </c>
      <c r="B5" s="3" t="s">
        <v>34</v>
      </c>
      <c r="C5" s="4">
        <v>1</v>
      </c>
      <c r="D5" s="4">
        <v>1</v>
      </c>
      <c r="E5" s="4">
        <v>2</v>
      </c>
      <c r="F5" s="4">
        <v>3</v>
      </c>
      <c r="G5" s="4">
        <v>1</v>
      </c>
      <c r="H5" s="4">
        <v>1</v>
      </c>
      <c r="I5" s="4">
        <v>3</v>
      </c>
      <c r="J5" s="4">
        <v>2</v>
      </c>
      <c r="K5" s="4">
        <v>3</v>
      </c>
      <c r="L5" s="4">
        <v>3</v>
      </c>
      <c r="M5" s="4">
        <v>2</v>
      </c>
      <c r="N5" s="4">
        <v>5</v>
      </c>
      <c r="O5" s="4">
        <v>3</v>
      </c>
      <c r="P5" s="4">
        <v>3</v>
      </c>
      <c r="Q5" s="4">
        <v>1</v>
      </c>
      <c r="R5" s="4">
        <v>2</v>
      </c>
      <c r="S5" s="4">
        <v>3</v>
      </c>
      <c r="T5" s="4">
        <v>1</v>
      </c>
      <c r="U5" s="4">
        <v>2</v>
      </c>
      <c r="V5" s="4">
        <v>1</v>
      </c>
      <c r="W5" s="4">
        <v>2</v>
      </c>
      <c r="X5" s="4">
        <v>4</v>
      </c>
      <c r="Y5" s="4">
        <v>5</v>
      </c>
      <c r="Z5" s="4">
        <v>2</v>
      </c>
      <c r="AA5" s="4">
        <v>0</v>
      </c>
      <c r="AB5" s="4">
        <v>2</v>
      </c>
      <c r="AC5" s="4">
        <v>2</v>
      </c>
      <c r="AD5" s="4">
        <v>0</v>
      </c>
      <c r="AE5" s="4">
        <v>1</v>
      </c>
      <c r="AF5" s="4">
        <v>1</v>
      </c>
      <c r="AG5" s="4">
        <v>4</v>
      </c>
      <c r="AH5" s="11">
        <f t="shared" si="0"/>
        <v>66</v>
      </c>
      <c r="AI5" s="11">
        <f t="shared" si="1"/>
        <v>2.3571428571428572</v>
      </c>
      <c r="AJ5" s="12">
        <v>10</v>
      </c>
      <c r="AK5" s="12">
        <f t="shared" si="2"/>
        <v>23.571428571428573</v>
      </c>
    </row>
    <row r="6" spans="1:37" ht="36" customHeight="1">
      <c r="A6" s="1">
        <v>4</v>
      </c>
      <c r="B6" s="3" t="s">
        <v>33</v>
      </c>
      <c r="C6" s="4"/>
      <c r="D6" s="4"/>
      <c r="E6" s="4"/>
      <c r="F6" s="4"/>
      <c r="G6" s="4">
        <v>1</v>
      </c>
      <c r="H6" s="4"/>
      <c r="I6" s="4"/>
      <c r="J6" s="4"/>
      <c r="K6" s="4"/>
      <c r="L6" s="4"/>
      <c r="M6" s="4"/>
      <c r="N6" s="4"/>
      <c r="O6" s="4">
        <v>1</v>
      </c>
      <c r="P6" s="4">
        <v>1</v>
      </c>
      <c r="Q6" s="4"/>
      <c r="R6" s="4"/>
      <c r="S6" s="4"/>
      <c r="T6" s="4"/>
      <c r="U6" s="4">
        <v>1</v>
      </c>
      <c r="V6" s="4"/>
      <c r="W6" s="4"/>
      <c r="X6" s="4"/>
      <c r="Y6" s="4"/>
      <c r="Z6" s="4"/>
      <c r="AA6" s="4"/>
      <c r="AB6" s="4"/>
      <c r="AC6" s="4"/>
      <c r="AD6" s="4">
        <v>1</v>
      </c>
      <c r="AE6" s="4"/>
      <c r="AF6" s="4"/>
      <c r="AG6" s="4">
        <v>1</v>
      </c>
      <c r="AH6" s="11">
        <f t="shared" si="0"/>
        <v>6</v>
      </c>
      <c r="AI6" s="11">
        <f t="shared" si="1"/>
        <v>0.21428571428571427</v>
      </c>
      <c r="AJ6" s="12">
        <v>15</v>
      </c>
      <c r="AK6" s="12">
        <f t="shared" si="2"/>
        <v>3.214285714285714</v>
      </c>
    </row>
    <row r="7" spans="1:37" ht="47.25" customHeight="1">
      <c r="A7" s="24" t="s">
        <v>27</v>
      </c>
      <c r="B7" s="6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7"/>
      <c r="AJ7" s="32"/>
      <c r="AK7" s="7"/>
    </row>
    <row r="8" spans="1:37" ht="41.25" customHeight="1">
      <c r="A8" s="24"/>
      <c r="B8" s="8" t="s">
        <v>28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7"/>
      <c r="AJ8" s="32"/>
      <c r="AK8" s="13">
        <f>SUM(AK3:AK6)</f>
        <v>146.16359447004609</v>
      </c>
    </row>
    <row r="9" spans="1:37" ht="60.75" customHeight="1">
      <c r="A9" s="24"/>
      <c r="B9" s="8" t="s">
        <v>29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7"/>
      <c r="AJ9" s="32"/>
      <c r="AK9" s="13">
        <v>1440</v>
      </c>
    </row>
    <row r="10" spans="1:37" ht="45" customHeight="1">
      <c r="A10" s="24"/>
      <c r="B10" s="8" t="s">
        <v>30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7"/>
      <c r="AJ10" s="32"/>
      <c r="AK10" s="13">
        <f>SUM(AK8/AK9)</f>
        <v>0.10150249615975424</v>
      </c>
    </row>
    <row r="11" spans="1:37" ht="54.75" customHeight="1">
      <c r="A11" s="24"/>
      <c r="B11" s="9" t="s">
        <v>44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7"/>
      <c r="AJ11" s="32"/>
      <c r="AK11" s="7"/>
    </row>
    <row r="13" spans="1:37" ht="31.5" customHeight="1"/>
    <row r="14" spans="1:37" ht="24" customHeight="1"/>
    <row r="15" spans="1:37" ht="41.25" customHeight="1"/>
    <row r="16" spans="1:37" ht="34.5" customHeight="1"/>
    <row r="17" ht="39.75" customHeight="1"/>
    <row r="18" ht="42" customHeight="1"/>
    <row r="19" ht="56.25" customHeight="1"/>
    <row r="20" ht="42.75" customHeight="1"/>
    <row r="21" ht="24.75" customHeight="1"/>
    <row r="22" ht="37.5" customHeight="1"/>
    <row r="23" ht="30.75" customHeight="1"/>
  </sheetData>
  <mergeCells count="40">
    <mergeCell ref="AF7:AF11"/>
    <mergeCell ref="AG7:AG11"/>
    <mergeCell ref="AH7:AH11"/>
    <mergeCell ref="AJ7:AJ11"/>
    <mergeCell ref="Z7:Z11"/>
    <mergeCell ref="AA7:AA11"/>
    <mergeCell ref="AB7:AB11"/>
    <mergeCell ref="AC7:AC11"/>
    <mergeCell ref="AD7:AD11"/>
    <mergeCell ref="AE7:AE11"/>
    <mergeCell ref="Y7:Y11"/>
    <mergeCell ref="N7:N11"/>
    <mergeCell ref="O7:O11"/>
    <mergeCell ref="P7:P11"/>
    <mergeCell ref="Q7:Q11"/>
    <mergeCell ref="R7:R11"/>
    <mergeCell ref="S7:S11"/>
    <mergeCell ref="T7:T11"/>
    <mergeCell ref="U7:U11"/>
    <mergeCell ref="V7:V11"/>
    <mergeCell ref="W7:W11"/>
    <mergeCell ref="X7:X11"/>
    <mergeCell ref="M7:M11"/>
    <mergeCell ref="A7:A11"/>
    <mergeCell ref="C7:C11"/>
    <mergeCell ref="D7:D11"/>
    <mergeCell ref="E7:E11"/>
    <mergeCell ref="F7:F11"/>
    <mergeCell ref="G7:G11"/>
    <mergeCell ref="H7:H11"/>
    <mergeCell ref="I7:I11"/>
    <mergeCell ref="J7:J11"/>
    <mergeCell ref="K7:K11"/>
    <mergeCell ref="L7:L11"/>
    <mergeCell ref="AJ1:AK1"/>
    <mergeCell ref="A1:A2"/>
    <mergeCell ref="B1:B2"/>
    <mergeCell ref="C1:AG1"/>
    <mergeCell ref="AH1:AH2"/>
    <mergeCell ref="AI1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ABK LAB PK</vt:lpstr>
      <vt:lpstr>ABK BDRS</vt:lpstr>
      <vt:lpstr>'ABK LAB PK'!Print_Area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Laboratorium</dc:creator>
  <cp:lastModifiedBy>ADMIN</cp:lastModifiedBy>
  <cp:lastPrinted>2025-11-04T09:07:41Z</cp:lastPrinted>
  <dcterms:created xsi:type="dcterms:W3CDTF">2025-03-04T01:56:00Z</dcterms:created>
  <dcterms:modified xsi:type="dcterms:W3CDTF">2025-11-05T02:16:57Z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27B9E26797824AD39BFE256FB9821FAD_12</vt:lpwstr>
  </property>
  <property fmtid="{D5CDD505-2E9C-101B-9397-08002B2CF9AE}" pid="3" name="KSOProductBuildVer">
    <vt:lpwstr>1033-12.2.0.21546</vt:lpwstr>
  </property>
</Properties>
</file>