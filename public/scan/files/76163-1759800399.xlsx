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SA\1. SEKRETARIAT\22. PENGAJUAN\04. PENGAJUAN TARIF\2025\"/>
    </mc:Choice>
  </mc:AlternateContent>
  <xr:revisionPtr revIDLastSave="0" documentId="8_{9D1F1C47-3650-4201-BE22-A39A30D47D02}" xr6:coauthVersionLast="47" xr6:coauthVersionMax="47" xr10:uidLastSave="{00000000-0000-0000-0000-000000000000}"/>
  <bookViews>
    <workbookView xWindow="10005" yWindow="450" windowWidth="10185" windowHeight="10530" firstSheet="2" activeTab="3" xr2:uid="{D2F96C9A-98D8-4897-84E7-93E67A737C23}"/>
  </bookViews>
  <sheets>
    <sheet name="BMHP" sheetId="1" r:id="rId1"/>
    <sheet name="BMHP SC BIASA" sheetId="2" r:id="rId2"/>
    <sheet name="BMHP SC ERACS" sheetId="3" r:id="rId3"/>
    <sheet name="PARTUS" sheetId="4" r:id="rId4"/>
  </sheets>
  <definedNames>
    <definedName name="_xlnm.Print_Area" localSheetId="0">BMHP!$B$3:$M$18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4" l="1"/>
  <c r="H19" i="4" s="1"/>
  <c r="G18" i="4"/>
  <c r="H18" i="4" s="1"/>
  <c r="H17" i="4"/>
  <c r="G17" i="4"/>
  <c r="G16" i="4"/>
  <c r="H16" i="4" s="1"/>
  <c r="H15" i="4"/>
  <c r="G15" i="4"/>
  <c r="G14" i="4"/>
  <c r="H14" i="4" s="1"/>
  <c r="H13" i="4"/>
  <c r="G13" i="4"/>
  <c r="G12" i="4"/>
  <c r="H12" i="4" s="1"/>
  <c r="H11" i="4"/>
  <c r="G11" i="4"/>
  <c r="G10" i="4"/>
  <c r="H10" i="4" s="1"/>
  <c r="H9" i="4"/>
  <c r="G9" i="4"/>
  <c r="G8" i="4"/>
  <c r="H8" i="4" s="1"/>
  <c r="H7" i="4"/>
  <c r="G7" i="4"/>
  <c r="G6" i="4"/>
  <c r="H6" i="4" s="1"/>
  <c r="H5" i="4"/>
  <c r="G5" i="4"/>
  <c r="G4" i="4"/>
  <c r="H4" i="4" s="1"/>
  <c r="H20" i="4" l="1"/>
</calcChain>
</file>

<file path=xl/sharedStrings.xml><?xml version="1.0" encoding="utf-8"?>
<sst xmlns="http://schemas.openxmlformats.org/spreadsheetml/2006/main" count="448" uniqueCount="226">
  <si>
    <t>NO</t>
  </si>
  <si>
    <t>LAMA TINDAKAN</t>
  </si>
  <si>
    <t>BMHP</t>
  </si>
  <si>
    <t xml:space="preserve">JUMLAH </t>
  </si>
  <si>
    <t>Jumlah Tenaga Medis</t>
  </si>
  <si>
    <t>TARIF SIMRS</t>
  </si>
  <si>
    <t>UNIT</t>
  </si>
  <si>
    <t>Alat</t>
  </si>
  <si>
    <t>Keterangan</t>
  </si>
  <si>
    <t>Nama Tindakan</t>
  </si>
  <si>
    <t>Code ICD10</t>
  </si>
  <si>
    <t>Inacbg's</t>
  </si>
  <si>
    <t>1 pcs</t>
  </si>
  <si>
    <t>IGD</t>
  </si>
  <si>
    <t>Drip</t>
  </si>
  <si>
    <t>IRNA (mater)</t>
  </si>
  <si>
    <t xml:space="preserve">Infus RL </t>
  </si>
  <si>
    <t>Oxitosin</t>
  </si>
  <si>
    <t>1 amp</t>
  </si>
  <si>
    <t>500 cc</t>
  </si>
  <si>
    <t>Spuit 3 cc one med</t>
  </si>
  <si>
    <t>1 bidan</t>
  </si>
  <si>
    <t>NST</t>
  </si>
  <si>
    <t>kpd &lt; 24 jam</t>
  </si>
  <si>
    <t>prolong fase laten, gagal drip</t>
  </si>
  <si>
    <t>2.891.300 (kelas 1)</t>
  </si>
  <si>
    <t>2.532.600 (kelas 2)</t>
  </si>
  <si>
    <t>2.173.900 (kelas 3)</t>
  </si>
  <si>
    <t>6.967.500 (kelas 1)</t>
  </si>
  <si>
    <t>6.103.200 (kelas 2)</t>
  </si>
  <si>
    <t>5.238.800 (kelas 3)</t>
  </si>
  <si>
    <r>
      <rPr>
        <b/>
        <sz val="11"/>
        <color theme="1"/>
        <rFont val="Arial"/>
        <family val="2"/>
      </rPr>
      <t>persalinan normal</t>
    </r>
    <r>
      <rPr>
        <sz val="11"/>
        <color theme="1"/>
        <rFont val="Arial"/>
        <family val="2"/>
      </rPr>
      <t xml:space="preserve"> + induksi</t>
    </r>
  </si>
  <si>
    <r>
      <t>gagal induksi +</t>
    </r>
    <r>
      <rPr>
        <b/>
        <sz val="11"/>
        <color theme="1"/>
        <rFont val="Arial"/>
        <family val="2"/>
      </rPr>
      <t xml:space="preserve"> operasi SC</t>
    </r>
  </si>
  <si>
    <t>1 flash bisa sampai 4 jam, dimulai dari 8 tpm meningkat tetesannya setiap 15 menit menyesuaikan dengan keadaan pasien dan advice  DPJP</t>
  </si>
  <si>
    <t>Harga tarif lama : Rp.500.000/1 flash</t>
  </si>
  <si>
    <t>NB. BMHP Paket Partus Normal dan BMHP SC terlampir</t>
  </si>
  <si>
    <t>73.59 + 73.4</t>
  </si>
  <si>
    <t>74.0</t>
  </si>
  <si>
    <t>BMHP IRNA</t>
  </si>
  <si>
    <t>Ruangan</t>
  </si>
  <si>
    <t xml:space="preserve">SC </t>
  </si>
  <si>
    <t>IKO</t>
  </si>
  <si>
    <t>30-45 menit</t>
  </si>
  <si>
    <t xml:space="preserve">ASAM MEFENAMAT TAB 500 MG </t>
  </si>
  <si>
    <t>20 tab</t>
  </si>
  <si>
    <t>1 DPJP obgyn</t>
  </si>
  <si>
    <t>Meja Instrumen</t>
  </si>
  <si>
    <t>SC</t>
  </si>
  <si>
    <t>ASAM TRANEKSAMAT 500 MG (Opsional)</t>
  </si>
  <si>
    <t>3 ampul</t>
  </si>
  <si>
    <t>1 DPJP anestesi</t>
  </si>
  <si>
    <t>Meja mayo</t>
  </si>
  <si>
    <t xml:space="preserve">CAIRAN RL 500 ML </t>
  </si>
  <si>
    <t>4 flash</t>
  </si>
  <si>
    <t>1 DPJP anak</t>
  </si>
  <si>
    <t>Meja operasi (Bed operasi)</t>
  </si>
  <si>
    <t xml:space="preserve">CAIRAN WI 25 ML </t>
  </si>
  <si>
    <t>2 buah</t>
  </si>
  <si>
    <t>1 asisten operator</t>
  </si>
  <si>
    <t>Patient monitor</t>
  </si>
  <si>
    <t xml:space="preserve">CEFADROXILE KAPS 500 MG </t>
  </si>
  <si>
    <t>10 tab</t>
  </si>
  <si>
    <t>1 asisten anestesi</t>
  </si>
  <si>
    <t>Mesin anestesi</t>
  </si>
  <si>
    <t xml:space="preserve">CEFAZOLIN INJEKSI 1 GRAM </t>
  </si>
  <si>
    <t>2 vial</t>
  </si>
  <si>
    <t>1 instrumen</t>
  </si>
  <si>
    <t xml:space="preserve">Standart infus </t>
  </si>
  <si>
    <t xml:space="preserve">DOMPERIDONE TAB 10MG </t>
  </si>
  <si>
    <t>1 onloop</t>
  </si>
  <si>
    <t>Suction</t>
  </si>
  <si>
    <t>Dexametasone injeksi</t>
  </si>
  <si>
    <t>2 amp</t>
  </si>
  <si>
    <t>1 penerima bayi</t>
  </si>
  <si>
    <t>Electrocauter</t>
  </si>
  <si>
    <t>HANDSCOON STERIL GLOVE 6,5/7</t>
  </si>
  <si>
    <t>1 buah</t>
  </si>
  <si>
    <t>Footstep</t>
  </si>
  <si>
    <t xml:space="preserve">KETOROLAC INJ 30 MG </t>
  </si>
  <si>
    <t>Selang suction</t>
  </si>
  <si>
    <t>METOCLOPRAMID inj (Opsional)</t>
  </si>
  <si>
    <t>1 ampul</t>
  </si>
  <si>
    <t>METHYLERGOMETRIN (Opsional)</t>
  </si>
  <si>
    <t>10 Tab</t>
  </si>
  <si>
    <t>Instrumen set SC</t>
  </si>
  <si>
    <t>ONDANSETRON INJ 4 MG/2 ML</t>
  </si>
  <si>
    <t>1 vial</t>
  </si>
  <si>
    <t>Desinfeksi klem</t>
  </si>
  <si>
    <t>PARACETAMOL 500 MG (Opsional)</t>
  </si>
  <si>
    <t>Duk Klem</t>
  </si>
  <si>
    <t xml:space="preserve">SPUIT 10 CC </t>
  </si>
  <si>
    <t>Pean kecil</t>
  </si>
  <si>
    <t>SPUIT 3 CC</t>
  </si>
  <si>
    <t>5 buah</t>
  </si>
  <si>
    <t xml:space="preserve">Pean sedang </t>
  </si>
  <si>
    <t>SPUIT 5 CC (Opsional)</t>
  </si>
  <si>
    <t>3 buah</t>
  </si>
  <si>
    <t>Koker</t>
  </si>
  <si>
    <t>U-PAD NON STERIL 60x90 cm</t>
  </si>
  <si>
    <t xml:space="preserve">3 buah </t>
  </si>
  <si>
    <t>Nailfudder</t>
  </si>
  <si>
    <t>Ranitidine injeksi</t>
  </si>
  <si>
    <t>Hand Fat Mess</t>
  </si>
  <si>
    <t>Pinset anatomis</t>
  </si>
  <si>
    <t>BMHP IKO</t>
  </si>
  <si>
    <t>Pinset Cirugis</t>
  </si>
  <si>
    <t xml:space="preserve">PD DRESING </t>
  </si>
  <si>
    <t>Gunting halus</t>
  </si>
  <si>
    <t>STERILE WATER 1000 ML</t>
  </si>
  <si>
    <t>1 flash</t>
  </si>
  <si>
    <t>Gunting kasar</t>
  </si>
  <si>
    <t>Cuticell Clasic 10X10 cm</t>
  </si>
  <si>
    <t>Blast spekulum</t>
  </si>
  <si>
    <t>HANSAPLAST JUMBO</t>
  </si>
  <si>
    <t>Reverdin</t>
  </si>
  <si>
    <t>JARUM SPINAL ANASTESI NO 27</t>
  </si>
  <si>
    <t>Peritoneum klem</t>
  </si>
  <si>
    <t xml:space="preserve">STARDIN 1000 ML </t>
  </si>
  <si>
    <t xml:space="preserve"> 100 ml </t>
  </si>
  <si>
    <t>Ring klem</t>
  </si>
  <si>
    <t>SPUIT 3 CC - TERUMO</t>
  </si>
  <si>
    <t>Bengkok</t>
  </si>
  <si>
    <t>SPUIT 5 CC - TERUMO</t>
  </si>
  <si>
    <t>Cucing</t>
  </si>
  <si>
    <t>SPUIT 10 CC - TERUMO</t>
  </si>
  <si>
    <t>Baskom</t>
  </si>
  <si>
    <t xml:space="preserve">FOLEY CATH NO 14 </t>
  </si>
  <si>
    <t>URINE BAG MODEL T - SEMILLAS</t>
  </si>
  <si>
    <t>Linen</t>
  </si>
  <si>
    <t xml:space="preserve">OXYFLOW DEWASA </t>
  </si>
  <si>
    <t>baju operasi untuk staf</t>
  </si>
  <si>
    <t xml:space="preserve">U-PAD STERIL </t>
  </si>
  <si>
    <t>baju pasien</t>
  </si>
  <si>
    <t>BENANG T-PLAIN 0 P88 - TRITON</t>
  </si>
  <si>
    <t>jilbab</t>
  </si>
  <si>
    <t>BENANG T-DIO 3-0 BP6 - TRITON</t>
  </si>
  <si>
    <t>penutup kepala (laki-laki)</t>
  </si>
  <si>
    <t>MESS NO 10 - AESCULAP</t>
  </si>
  <si>
    <t>Duk lubang besar</t>
  </si>
  <si>
    <t xml:space="preserve">HANDSCOON STERIL NO. 7 </t>
  </si>
  <si>
    <t>8 buah</t>
  </si>
  <si>
    <t>Duk sedang</t>
  </si>
  <si>
    <t>NURSE CAP GREEN</t>
  </si>
  <si>
    <t>Duk kecil</t>
  </si>
  <si>
    <t>KASSA BIASA</t>
  </si>
  <si>
    <t xml:space="preserve"> 2 pouches</t>
  </si>
  <si>
    <t>Skort staf / gaun steril</t>
  </si>
  <si>
    <t>KASSA BIGKAS</t>
  </si>
  <si>
    <t xml:space="preserve"> 1 pouches</t>
  </si>
  <si>
    <t xml:space="preserve">Waslap </t>
  </si>
  <si>
    <t>KASSA DEPRES</t>
  </si>
  <si>
    <t>MASKER TIE ON (MASKER TALI)</t>
  </si>
  <si>
    <t xml:space="preserve">UPAD NON STERIL </t>
  </si>
  <si>
    <t>1 pasang</t>
  </si>
  <si>
    <t xml:space="preserve">REGIVELL INJ 4 ML </t>
  </si>
  <si>
    <t>DEXAMETASON INJ</t>
  </si>
  <si>
    <t>2 ampul</t>
  </si>
  <si>
    <t>OXYTOCIN INJ 10 IU - ETHICA</t>
  </si>
  <si>
    <t>4 ampul</t>
  </si>
  <si>
    <t>MILOZ INJ</t>
  </si>
  <si>
    <t>PETHIDINE HCL INJ 50 MG/ML</t>
  </si>
  <si>
    <t>POSPARGIN INJ</t>
  </si>
  <si>
    <t>CAIRAN RL 500 ML</t>
  </si>
  <si>
    <t>2 flash</t>
  </si>
  <si>
    <t>MISOPROSTOL (DIMASUKKAN REKTAL) (OPSIONAL)</t>
  </si>
  <si>
    <t>3 TABLET</t>
  </si>
  <si>
    <t>ASAM TRANEKSAMAT INJEKSI</t>
  </si>
  <si>
    <t xml:space="preserve">HANDSKUN NON STERIL </t>
  </si>
  <si>
    <t>1 PASANG</t>
  </si>
  <si>
    <t>ALCOHOL 70%</t>
  </si>
  <si>
    <t>50 ml</t>
  </si>
  <si>
    <t xml:space="preserve">PENSIL COUTER </t>
  </si>
  <si>
    <t>1 PCS</t>
  </si>
  <si>
    <t>HANDSKUN OBGYN STERIL</t>
  </si>
  <si>
    <t>ondancentron 4 mg</t>
  </si>
  <si>
    <t>primperan (piralen) 10 mg</t>
  </si>
  <si>
    <t>VASODRIN INJ</t>
  </si>
  <si>
    <t>CEFADROXILE KAPS 500 MG</t>
  </si>
  <si>
    <t>TRAMADOL TAB/ PROFENAL (PILIH SALAH SATU)</t>
  </si>
  <si>
    <t>DEXAMETHASONE INJ</t>
  </si>
  <si>
    <t>DOMPERIDON TAB</t>
  </si>
  <si>
    <t>HANDSCOON STERIL GLOVE 6,5</t>
  </si>
  <si>
    <t>HANDSCOON STERIL GLOVE 7</t>
  </si>
  <si>
    <t>METOCLOPRAMID INJ 10 MG</t>
  </si>
  <si>
    <t>SPUIT 10 CC - GIDCARE</t>
  </si>
  <si>
    <t>SPUIT 3 CC - GIDCARE</t>
  </si>
  <si>
    <t>7 buah</t>
  </si>
  <si>
    <t>SUMAGESIC 600 MG</t>
  </si>
  <si>
    <t>Ranitidine 1 amp</t>
  </si>
  <si>
    <t>Ramozea 1 amp</t>
  </si>
  <si>
    <t xml:space="preserve">PCT infus </t>
  </si>
  <si>
    <t>ASAM TRANEXAMAT INJ</t>
  </si>
  <si>
    <t>3 AMP</t>
  </si>
  <si>
    <t xml:space="preserve">SPUIT 5 CC </t>
  </si>
  <si>
    <t>3 PCS</t>
  </si>
  <si>
    <t>REPACOR INJ</t>
  </si>
  <si>
    <t>alcohol 70%</t>
  </si>
  <si>
    <t>BENANG T-MONO 4-0</t>
  </si>
  <si>
    <t>FENTANEX INJ</t>
  </si>
  <si>
    <t>1 AMP</t>
  </si>
  <si>
    <t>PAKET PARTUS</t>
  </si>
  <si>
    <t>NAMA OBAT / ALKES / BMHP</t>
  </si>
  <si>
    <t>JUMLAH UNTUK 1 PAKET</t>
  </si>
  <si>
    <t>KETERANGAN</t>
  </si>
  <si>
    <t>HARGA</t>
  </si>
  <si>
    <t>PPN 11%</t>
  </si>
  <si>
    <t>HARGA (+PPN)</t>
  </si>
  <si>
    <t>HARGA TOTAL</t>
  </si>
  <si>
    <t>Amoxicillin tab</t>
  </si>
  <si>
    <t>Asam Mefenamat tab</t>
  </si>
  <si>
    <t>Apron</t>
  </si>
  <si>
    <t>Benang T-vio 2/0 V66</t>
  </si>
  <si>
    <t>Handscoon steril no.6,5</t>
  </si>
  <si>
    <t>Lidocain inj</t>
  </si>
  <si>
    <t>Mucus extractor</t>
  </si>
  <si>
    <t>Pembalut nifas</t>
  </si>
  <si>
    <t>Spuit 1cc - onemed</t>
  </si>
  <si>
    <t>Spuit 3 cc - gidcare</t>
  </si>
  <si>
    <t>Umbilical</t>
  </si>
  <si>
    <t>Upad Non steril</t>
  </si>
  <si>
    <t>Vitadion / phytomenadion inj</t>
  </si>
  <si>
    <t>Washlap</t>
  </si>
  <si>
    <t>Oxytosin inj</t>
  </si>
  <si>
    <t>saat ambil paket</t>
  </si>
  <si>
    <t>Metil ergometrin inj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</si>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</sst>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1" xfId="0" applyFont="1" applyFill="1" applyBorder="1"/>
    <xf numFmtId="0" fontId="2" fillId="4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6" fontId="2" fillId="0" borderId="1" xfId="0" applyNumberFormat="1" applyFont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4" borderId="1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4" borderId="1" xfId="0" applyFont="1" applyFill="1" applyBorder="1" applyAlignment="1">
      <alignment horizontal="center" wrapText="1"/>
    </xf>
    <xf numFmtId="3" fontId="5" fillId="4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4" borderId="0" xfId="0" quotePrefix="1" applyFill="1"/>
    <xf numFmtId="0" fontId="6" fillId="0" borderId="0" xfId="0" applyFont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7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3" fontId="2" fillId="4" borderId="1" xfId="0" applyNumberFormat="1" applyFont="1" applyFill="1" applyBorder="1"/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wrapText="1"/>
    </xf>
    <xf numFmtId="0" fontId="7" fillId="6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wrapText="1"/>
    </xf>
    <xf numFmtId="0" fontId="4" fillId="0" borderId="1" xfId="0" applyFont="1" applyBorder="1" applyAlignment="1">
      <alignment horizontal="left"/>
    </xf>
    <xf numFmtId="0" fontId="0" fillId="6" borderId="3" xfId="0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horizontal="center"/>
    </xf>
    <xf numFmtId="0" fontId="7" fillId="1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/>
    </xf>
    <xf numFmtId="0" fontId="7" fillId="11" borderId="4" xfId="0" applyFont="1" applyFill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0" fillId="8" borderId="4" xfId="0" applyFill="1" applyBorder="1" applyAlignment="1">
      <alignment vertical="center" wrapText="1"/>
    </xf>
    <xf numFmtId="0" fontId="0" fillId="8" borderId="4" xfId="0" applyFill="1" applyBorder="1" applyAlignment="1">
      <alignment horizontal="center" vertical="center" wrapText="1"/>
    </xf>
    <xf numFmtId="0" fontId="7" fillId="11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0" fillId="8" borderId="4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0" fillId="6" borderId="5" xfId="0" applyFill="1" applyBorder="1" applyAlignment="1">
      <alignment vertical="center" wrapText="1"/>
    </xf>
    <xf numFmtId="0" fontId="0" fillId="6" borderId="5" xfId="0" applyFill="1" applyBorder="1" applyAlignment="1">
      <alignment horizontal="center"/>
    </xf>
    <xf numFmtId="0" fontId="2" fillId="0" borderId="6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4" fontId="8" fillId="6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" fontId="4" fillId="0" borderId="0" xfId="0" applyNumberFormat="1" applyFont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9543-2383-40EC-984B-63CF8A8D0D23}">
  <sheetPr>
    <pageSetUpPr fitToPage="1"/>
  </sheetPr>
  <dimension ref="B3:M20"/>
  <sheetViews>
    <sheetView zoomScale="55" zoomScaleNormal="55" workbookViewId="0">
      <selection activeCell="L8" sqref="L8"/>
    </sheetView>
  </sheetViews>
  <sheetFormatPr defaultColWidth="9.140625" defaultRowHeight="14.25" x14ac:dyDescent="0.2"/>
  <cols>
    <col min="1" max="1" width="5.7109375" style="7" customWidth="1"/>
    <col min="2" max="2" width="4.28515625" style="8" bestFit="1" customWidth="1"/>
    <col min="3" max="3" width="39.140625" style="7" customWidth="1"/>
    <col min="4" max="4" width="14.42578125" style="34" customWidth="1"/>
    <col min="5" max="5" width="51.7109375" style="27" customWidth="1"/>
    <col min="6" max="6" width="20.140625" style="7" customWidth="1"/>
    <col min="7" max="7" width="13.140625" style="8" customWidth="1"/>
    <col min="8" max="8" width="23.42578125" style="7" bestFit="1" customWidth="1"/>
    <col min="9" max="9" width="19.140625" style="7" customWidth="1"/>
    <col min="10" max="10" width="29" style="19" customWidth="1"/>
    <col min="11" max="11" width="17.7109375" style="17" customWidth="1"/>
    <col min="12" max="12" width="13.140625" style="10" bestFit="1" customWidth="1"/>
    <col min="13" max="13" width="18.7109375" style="29" customWidth="1"/>
    <col min="14" max="16384" width="9.140625" style="7"/>
  </cols>
  <sheetData>
    <row r="3" spans="2:13" s="6" customFormat="1" ht="27.75" customHeight="1" x14ac:dyDescent="0.2">
      <c r="B3" s="1" t="s">
        <v>0</v>
      </c>
      <c r="C3" s="1" t="s">
        <v>5</v>
      </c>
      <c r="D3" s="1" t="s">
        <v>6</v>
      </c>
      <c r="E3" s="1" t="s">
        <v>1</v>
      </c>
      <c r="F3" s="1" t="s">
        <v>2</v>
      </c>
      <c r="G3" s="2" t="s">
        <v>3</v>
      </c>
      <c r="H3" s="2" t="s">
        <v>4</v>
      </c>
      <c r="I3" s="2" t="s">
        <v>7</v>
      </c>
      <c r="J3" s="2" t="s">
        <v>8</v>
      </c>
      <c r="K3" s="11" t="s">
        <v>9</v>
      </c>
      <c r="L3" s="11" t="s">
        <v>10</v>
      </c>
      <c r="M3" s="11" t="s">
        <v>11</v>
      </c>
    </row>
    <row r="4" spans="2:13" ht="63" customHeight="1" x14ac:dyDescent="0.2">
      <c r="B4" s="4">
        <v>1</v>
      </c>
      <c r="C4" s="20" t="s">
        <v>14</v>
      </c>
      <c r="D4" s="4" t="s">
        <v>15</v>
      </c>
      <c r="E4" s="23" t="s">
        <v>33</v>
      </c>
      <c r="F4" s="21" t="s">
        <v>16</v>
      </c>
      <c r="G4" s="22" t="s">
        <v>19</v>
      </c>
      <c r="H4" s="4" t="s">
        <v>21</v>
      </c>
      <c r="I4" s="4" t="s">
        <v>22</v>
      </c>
      <c r="J4" s="23" t="s">
        <v>23</v>
      </c>
      <c r="K4" s="24" t="s">
        <v>31</v>
      </c>
      <c r="L4" s="25" t="s">
        <v>36</v>
      </c>
      <c r="M4" s="33" t="s">
        <v>25</v>
      </c>
    </row>
    <row r="5" spans="2:13" x14ac:dyDescent="0.2">
      <c r="B5" s="3"/>
      <c r="C5" s="5" t="s">
        <v>34</v>
      </c>
      <c r="D5" s="4" t="s">
        <v>13</v>
      </c>
      <c r="E5" s="26"/>
      <c r="F5" s="15" t="s">
        <v>17</v>
      </c>
      <c r="G5" s="14" t="s">
        <v>18</v>
      </c>
      <c r="H5" s="12"/>
      <c r="I5" s="5"/>
      <c r="J5" s="12"/>
      <c r="K5" s="16"/>
      <c r="L5" s="9"/>
      <c r="M5" s="33" t="s">
        <v>26</v>
      </c>
    </row>
    <row r="6" spans="2:13" x14ac:dyDescent="0.2">
      <c r="B6" s="3"/>
      <c r="C6" s="13"/>
      <c r="D6" s="4"/>
      <c r="E6" s="26"/>
      <c r="F6" s="15" t="s">
        <v>20</v>
      </c>
      <c r="G6" s="14" t="s">
        <v>12</v>
      </c>
      <c r="H6" s="12"/>
      <c r="I6" s="5"/>
      <c r="J6" s="18"/>
      <c r="K6" s="16"/>
      <c r="L6" s="9"/>
      <c r="M6" s="33" t="s">
        <v>27</v>
      </c>
    </row>
    <row r="7" spans="2:13" x14ac:dyDescent="0.2">
      <c r="B7" s="3"/>
      <c r="C7" s="13"/>
      <c r="D7" s="4"/>
      <c r="E7" s="26"/>
      <c r="F7" s="15"/>
      <c r="G7" s="14"/>
      <c r="H7" s="12"/>
      <c r="I7" s="5"/>
      <c r="J7" s="30"/>
      <c r="K7" s="16"/>
      <c r="L7" s="9"/>
      <c r="M7" s="33"/>
    </row>
    <row r="8" spans="2:13" ht="30" x14ac:dyDescent="0.25">
      <c r="B8" s="3"/>
      <c r="C8" s="5"/>
      <c r="D8" s="4"/>
      <c r="E8" s="26"/>
      <c r="F8" s="15"/>
      <c r="G8" s="14"/>
      <c r="H8" s="12"/>
      <c r="I8" s="5"/>
      <c r="J8" s="6" t="s">
        <v>24</v>
      </c>
      <c r="K8" s="32" t="s">
        <v>32</v>
      </c>
      <c r="L8" s="35" t="s">
        <v>37</v>
      </c>
      <c r="M8" s="33" t="s">
        <v>28</v>
      </c>
    </row>
    <row r="9" spans="2:13" x14ac:dyDescent="0.2">
      <c r="B9" s="3"/>
      <c r="C9" s="5"/>
      <c r="D9" s="4"/>
      <c r="E9" s="26"/>
      <c r="F9" s="5"/>
      <c r="G9" s="3"/>
      <c r="H9" s="5"/>
      <c r="I9" s="5"/>
      <c r="J9" s="31"/>
      <c r="K9" s="16"/>
      <c r="L9" s="9"/>
      <c r="M9" s="33" t="s">
        <v>29</v>
      </c>
    </row>
    <row r="10" spans="2:13" x14ac:dyDescent="0.2">
      <c r="B10" s="3"/>
      <c r="C10" s="5"/>
      <c r="D10" s="4"/>
      <c r="E10" s="26"/>
      <c r="F10" s="5"/>
      <c r="G10" s="3"/>
      <c r="H10" s="5"/>
      <c r="I10" s="5"/>
      <c r="J10" s="31"/>
      <c r="K10" s="16"/>
      <c r="L10" s="9"/>
      <c r="M10" s="33" t="s">
        <v>30</v>
      </c>
    </row>
    <row r="11" spans="2:13" x14ac:dyDescent="0.2">
      <c r="B11" s="3"/>
      <c r="C11" s="5"/>
      <c r="D11" s="4"/>
      <c r="E11" s="26"/>
      <c r="F11" s="5"/>
      <c r="G11" s="3"/>
      <c r="H11" s="5"/>
      <c r="I11" s="5"/>
      <c r="J11" s="31"/>
      <c r="K11" s="16"/>
      <c r="L11" s="9"/>
      <c r="M11" s="28"/>
    </row>
    <row r="12" spans="2:13" x14ac:dyDescent="0.2">
      <c r="B12" s="3"/>
      <c r="C12" s="5"/>
      <c r="D12" s="4"/>
      <c r="E12" s="26"/>
      <c r="F12" s="5"/>
      <c r="G12" s="3"/>
      <c r="H12" s="5"/>
      <c r="I12" s="5"/>
      <c r="J12" s="31"/>
      <c r="K12" s="16"/>
      <c r="L12" s="9"/>
      <c r="M12" s="28"/>
    </row>
    <row r="13" spans="2:13" x14ac:dyDescent="0.2">
      <c r="B13" s="3"/>
      <c r="C13" s="5"/>
      <c r="D13" s="4"/>
      <c r="E13" s="26"/>
      <c r="F13" s="5"/>
      <c r="G13" s="3"/>
      <c r="H13" s="5"/>
      <c r="I13" s="5"/>
      <c r="J13" s="31"/>
      <c r="K13" s="16"/>
      <c r="L13" s="9"/>
      <c r="M13" s="28"/>
    </row>
    <row r="14" spans="2:13" x14ac:dyDescent="0.2">
      <c r="B14" s="3"/>
      <c r="C14" s="5"/>
      <c r="D14" s="4"/>
      <c r="E14" s="26"/>
      <c r="F14" s="5"/>
      <c r="G14" s="3"/>
      <c r="H14" s="5"/>
      <c r="I14" s="5"/>
      <c r="J14" s="12"/>
      <c r="K14" s="16"/>
      <c r="L14" s="9"/>
      <c r="M14" s="28"/>
    </row>
    <row r="15" spans="2:13" x14ac:dyDescent="0.2">
      <c r="B15" s="3"/>
      <c r="C15" s="5"/>
      <c r="D15" s="4"/>
      <c r="E15" s="26"/>
      <c r="F15" s="5"/>
      <c r="G15" s="3"/>
      <c r="H15" s="5"/>
      <c r="I15" s="5"/>
      <c r="J15" s="12"/>
      <c r="K15" s="16"/>
      <c r="L15" s="9"/>
      <c r="M15" s="28"/>
    </row>
    <row r="16" spans="2:13" x14ac:dyDescent="0.2">
      <c r="B16" s="3"/>
      <c r="C16" s="5"/>
      <c r="D16" s="4"/>
      <c r="E16" s="26"/>
      <c r="F16" s="5"/>
      <c r="G16" s="3"/>
      <c r="H16" s="5"/>
      <c r="I16" s="5"/>
      <c r="J16" s="12"/>
      <c r="K16" s="16"/>
      <c r="L16" s="9"/>
      <c r="M16" s="28"/>
    </row>
    <row r="17" spans="2:13" x14ac:dyDescent="0.2">
      <c r="B17" s="3"/>
      <c r="C17" s="5"/>
      <c r="D17" s="4"/>
      <c r="E17" s="26"/>
      <c r="F17" s="5"/>
      <c r="G17" s="3"/>
      <c r="H17" s="5"/>
      <c r="I17" s="5"/>
      <c r="J17" s="12"/>
      <c r="K17" s="16"/>
      <c r="L17" s="9"/>
      <c r="M17" s="28"/>
    </row>
    <row r="18" spans="2:13" x14ac:dyDescent="0.2">
      <c r="B18" s="3"/>
      <c r="C18" s="5"/>
      <c r="D18" s="4"/>
      <c r="E18" s="26"/>
      <c r="F18" s="5"/>
      <c r="G18" s="3"/>
      <c r="H18" s="5"/>
      <c r="I18" s="5"/>
      <c r="J18" s="12"/>
      <c r="K18" s="16"/>
      <c r="L18" s="9"/>
      <c r="M18" s="28"/>
    </row>
    <row r="20" spans="2:13" ht="26.25" x14ac:dyDescent="0.4">
      <c r="C20" s="36" t="s">
        <v>35</v>
      </c>
      <c r="D20" s="36"/>
      <c r="E20" s="36"/>
      <c r="F20" s="36"/>
      <c r="G20" s="36"/>
    </row>
  </sheetData>
  <mergeCells count="1">
    <mergeCell ref="C20:G20"/>
  </mergeCells>
  <pageMargins left="0.7" right="0.7" top="0.75" bottom="0.75" header="0.3" footer="0.3"/>
  <pageSetup scale="52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1BF7-F7E3-41B3-825B-17914AF5ED19}">
  <dimension ref="A1:M64"/>
  <sheetViews>
    <sheetView topLeftCell="A22" workbookViewId="0">
      <selection activeCell="L5" sqref="L5"/>
    </sheetView>
  </sheetViews>
  <sheetFormatPr defaultRowHeight="15" x14ac:dyDescent="0.25"/>
  <cols>
    <col min="5" max="5" width="12" bestFit="1" customWidth="1"/>
    <col min="7" max="7" width="10.28515625" bestFit="1" customWidth="1"/>
    <col min="9" max="9" width="26.42578125" bestFit="1" customWidth="1"/>
    <col min="10" max="10" width="15.5703125" customWidth="1"/>
    <col min="11" max="11" width="11.5703125" customWidth="1"/>
    <col min="13" max="13" width="19" bestFit="1" customWidth="1"/>
  </cols>
  <sheetData>
    <row r="1" spans="1:13" x14ac:dyDescent="0.25">
      <c r="A1" s="7"/>
      <c r="B1" s="8"/>
      <c r="C1" s="7"/>
      <c r="D1" s="8"/>
      <c r="E1" s="8"/>
      <c r="F1" s="6"/>
      <c r="G1" s="8"/>
      <c r="H1" s="7"/>
      <c r="I1" s="19"/>
      <c r="J1" s="27"/>
      <c r="K1" s="17"/>
      <c r="L1" s="10"/>
      <c r="M1" s="10"/>
    </row>
    <row r="2" spans="1:13" ht="45" x14ac:dyDescent="0.25">
      <c r="A2" s="6"/>
      <c r="B2" s="1" t="s">
        <v>0</v>
      </c>
      <c r="C2" s="1" t="s">
        <v>5</v>
      </c>
      <c r="D2" s="1" t="s">
        <v>6</v>
      </c>
      <c r="E2" s="1" t="s">
        <v>1</v>
      </c>
      <c r="F2" s="1" t="s">
        <v>2</v>
      </c>
      <c r="G2" s="2" t="s">
        <v>3</v>
      </c>
      <c r="H2" s="2" t="s">
        <v>4</v>
      </c>
      <c r="I2" s="2" t="s">
        <v>7</v>
      </c>
      <c r="J2" s="2" t="s">
        <v>8</v>
      </c>
      <c r="K2" s="11" t="s">
        <v>9</v>
      </c>
      <c r="L2" s="11" t="s">
        <v>10</v>
      </c>
      <c r="M2" s="11" t="s">
        <v>11</v>
      </c>
    </row>
    <row r="3" spans="1:13" ht="30" x14ac:dyDescent="0.25">
      <c r="A3" s="6"/>
      <c r="B3" s="37"/>
      <c r="C3" s="37"/>
      <c r="D3" s="37"/>
      <c r="E3" s="37"/>
      <c r="F3" s="38" t="s">
        <v>38</v>
      </c>
      <c r="G3" s="39"/>
      <c r="H3" s="39"/>
      <c r="I3" s="40" t="s">
        <v>39</v>
      </c>
      <c r="J3" s="39"/>
      <c r="K3" s="39"/>
      <c r="L3" s="39"/>
      <c r="M3" s="39"/>
    </row>
    <row r="4" spans="1:13" ht="60" x14ac:dyDescent="0.25">
      <c r="A4" s="7"/>
      <c r="B4" s="3">
        <v>1</v>
      </c>
      <c r="C4" s="41" t="s">
        <v>40</v>
      </c>
      <c r="D4" s="42" t="s">
        <v>41</v>
      </c>
      <c r="E4" s="4" t="s">
        <v>42</v>
      </c>
      <c r="F4" s="43" t="s">
        <v>43</v>
      </c>
      <c r="G4" s="44" t="s">
        <v>44</v>
      </c>
      <c r="H4" s="5" t="s">
        <v>45</v>
      </c>
      <c r="I4" s="12" t="s">
        <v>46</v>
      </c>
      <c r="J4" s="26">
        <v>1</v>
      </c>
      <c r="K4" s="16" t="s">
        <v>47</v>
      </c>
      <c r="L4" s="9" t="s">
        <v>37</v>
      </c>
      <c r="M4" s="45" t="s">
        <v>28</v>
      </c>
    </row>
    <row r="5" spans="1:13" ht="90" x14ac:dyDescent="0.25">
      <c r="A5" s="7"/>
      <c r="B5" s="3"/>
      <c r="C5" s="5"/>
      <c r="D5" s="3"/>
      <c r="E5" s="3"/>
      <c r="F5" s="46" t="s">
        <v>48</v>
      </c>
      <c r="G5" s="47" t="s">
        <v>49</v>
      </c>
      <c r="H5" s="5" t="s">
        <v>50</v>
      </c>
      <c r="I5" s="12" t="s">
        <v>51</v>
      </c>
      <c r="J5" s="26">
        <v>1</v>
      </c>
      <c r="K5" s="16"/>
      <c r="L5" s="9"/>
      <c r="M5" s="45" t="s">
        <v>29</v>
      </c>
    </row>
    <row r="6" spans="1:13" ht="45" x14ac:dyDescent="0.25">
      <c r="A6" s="7"/>
      <c r="B6" s="3"/>
      <c r="C6" s="13"/>
      <c r="D6" s="3"/>
      <c r="E6" s="3"/>
      <c r="F6" s="48" t="s">
        <v>52</v>
      </c>
      <c r="G6" s="47" t="s">
        <v>53</v>
      </c>
      <c r="H6" s="7" t="s">
        <v>54</v>
      </c>
      <c r="I6" s="12" t="s">
        <v>55</v>
      </c>
      <c r="J6" s="26">
        <v>1</v>
      </c>
      <c r="K6" s="16"/>
      <c r="L6" s="9"/>
      <c r="M6" s="45" t="s">
        <v>30</v>
      </c>
    </row>
    <row r="7" spans="1:13" ht="30" x14ac:dyDescent="0.25">
      <c r="A7" s="7"/>
      <c r="B7" s="3"/>
      <c r="C7" s="5"/>
      <c r="D7" s="3"/>
      <c r="E7" s="3"/>
      <c r="F7" s="48" t="s">
        <v>56</v>
      </c>
      <c r="G7" s="47" t="s">
        <v>57</v>
      </c>
      <c r="H7" s="5" t="s">
        <v>58</v>
      </c>
      <c r="I7" s="12" t="s">
        <v>59</v>
      </c>
      <c r="J7" s="26">
        <v>1</v>
      </c>
      <c r="K7" s="16"/>
      <c r="L7" s="9"/>
      <c r="M7" s="9"/>
    </row>
    <row r="8" spans="1:13" ht="60" x14ac:dyDescent="0.25">
      <c r="A8" s="7"/>
      <c r="B8" s="3"/>
      <c r="C8" s="5"/>
      <c r="D8" s="3"/>
      <c r="E8" s="3"/>
      <c r="F8" s="48" t="s">
        <v>60</v>
      </c>
      <c r="G8" s="47" t="s">
        <v>61</v>
      </c>
      <c r="H8" s="12" t="s">
        <v>62</v>
      </c>
      <c r="I8" s="12" t="s">
        <v>63</v>
      </c>
      <c r="J8" s="26">
        <v>1</v>
      </c>
      <c r="K8" s="16"/>
      <c r="L8" s="9"/>
      <c r="M8" s="9"/>
    </row>
    <row r="9" spans="1:13" ht="60" x14ac:dyDescent="0.25">
      <c r="A9" s="7"/>
      <c r="B9" s="3"/>
      <c r="C9" s="5"/>
      <c r="D9" s="3"/>
      <c r="E9" s="3"/>
      <c r="F9" s="48" t="s">
        <v>64</v>
      </c>
      <c r="G9" s="47" t="s">
        <v>65</v>
      </c>
      <c r="H9" s="5" t="s">
        <v>66</v>
      </c>
      <c r="I9" s="12" t="s">
        <v>67</v>
      </c>
      <c r="J9" s="26">
        <v>1</v>
      </c>
      <c r="K9" s="16"/>
      <c r="L9" s="9"/>
      <c r="M9" s="9"/>
    </row>
    <row r="10" spans="1:13" ht="60" x14ac:dyDescent="0.25">
      <c r="A10" s="7"/>
      <c r="B10" s="3"/>
      <c r="C10" s="5"/>
      <c r="D10" s="3"/>
      <c r="E10" s="3"/>
      <c r="F10" s="49" t="s">
        <v>68</v>
      </c>
      <c r="G10" s="44" t="s">
        <v>44</v>
      </c>
      <c r="H10" s="5" t="s">
        <v>69</v>
      </c>
      <c r="I10" s="12" t="s">
        <v>70</v>
      </c>
      <c r="J10" s="26">
        <v>1</v>
      </c>
      <c r="K10" s="16"/>
      <c r="L10" s="9"/>
      <c r="M10" s="9"/>
    </row>
    <row r="11" spans="1:13" ht="45" x14ac:dyDescent="0.25">
      <c r="A11" s="7"/>
      <c r="B11" s="3"/>
      <c r="C11" s="5"/>
      <c r="D11" s="3"/>
      <c r="E11" s="3"/>
      <c r="F11" s="48" t="s">
        <v>71</v>
      </c>
      <c r="G11" s="47" t="s">
        <v>72</v>
      </c>
      <c r="H11" s="5" t="s">
        <v>73</v>
      </c>
      <c r="I11" s="12" t="s">
        <v>74</v>
      </c>
      <c r="J11" s="26">
        <v>1</v>
      </c>
      <c r="K11" s="16"/>
      <c r="L11" s="9"/>
      <c r="M11" s="9"/>
    </row>
    <row r="12" spans="1:13" ht="75" x14ac:dyDescent="0.25">
      <c r="A12" s="7"/>
      <c r="B12" s="3"/>
      <c r="C12" s="5"/>
      <c r="D12" s="3"/>
      <c r="E12" s="3"/>
      <c r="F12" s="48" t="s">
        <v>75</v>
      </c>
      <c r="G12" s="47" t="s">
        <v>76</v>
      </c>
      <c r="H12" s="5"/>
      <c r="I12" s="12" t="s">
        <v>77</v>
      </c>
      <c r="J12" s="26">
        <v>1</v>
      </c>
      <c r="K12" s="16"/>
      <c r="L12" s="9"/>
      <c r="M12" s="9"/>
    </row>
    <row r="13" spans="1:13" ht="45" x14ac:dyDescent="0.25">
      <c r="A13" s="7"/>
      <c r="B13" s="3"/>
      <c r="C13" s="5"/>
      <c r="D13" s="3"/>
      <c r="E13" s="3"/>
      <c r="F13" s="48" t="s">
        <v>78</v>
      </c>
      <c r="G13" s="50" t="s">
        <v>49</v>
      </c>
      <c r="H13" s="5"/>
      <c r="I13" s="12" t="s">
        <v>79</v>
      </c>
      <c r="J13" s="26">
        <v>1</v>
      </c>
      <c r="K13" s="16"/>
      <c r="L13" s="9"/>
      <c r="M13" s="9"/>
    </row>
    <row r="14" spans="1:13" ht="75" x14ac:dyDescent="0.25">
      <c r="A14" s="7"/>
      <c r="B14" s="3"/>
      <c r="C14" s="5"/>
      <c r="D14" s="3"/>
      <c r="E14" s="3"/>
      <c r="F14" s="51" t="s">
        <v>80</v>
      </c>
      <c r="G14" s="47" t="s">
        <v>81</v>
      </c>
      <c r="H14" s="5"/>
      <c r="I14" s="12"/>
      <c r="J14" s="26"/>
      <c r="K14" s="16"/>
      <c r="L14" s="9"/>
      <c r="M14" s="9"/>
    </row>
    <row r="15" spans="1:13" ht="75" x14ac:dyDescent="0.25">
      <c r="A15" s="7"/>
      <c r="B15" s="3"/>
      <c r="C15" s="5"/>
      <c r="D15" s="3"/>
      <c r="E15" s="3"/>
      <c r="F15" s="52" t="s">
        <v>82</v>
      </c>
      <c r="G15" s="47" t="s">
        <v>83</v>
      </c>
      <c r="H15" s="5"/>
      <c r="I15" s="53" t="s">
        <v>84</v>
      </c>
      <c r="J15" s="26"/>
      <c r="K15" s="16"/>
      <c r="L15" s="9"/>
      <c r="M15" s="9"/>
    </row>
    <row r="16" spans="1:13" ht="60" x14ac:dyDescent="0.25">
      <c r="A16" s="7"/>
      <c r="B16" s="3"/>
      <c r="C16" s="5"/>
      <c r="D16" s="3"/>
      <c r="E16" s="3"/>
      <c r="F16" s="48" t="s">
        <v>85</v>
      </c>
      <c r="G16" s="47" t="s">
        <v>86</v>
      </c>
      <c r="H16" s="5"/>
      <c r="I16" s="12" t="s">
        <v>87</v>
      </c>
      <c r="J16" s="26">
        <v>1</v>
      </c>
      <c r="K16" s="16"/>
      <c r="L16" s="9"/>
      <c r="M16" s="9"/>
    </row>
    <row r="17" spans="1:13" ht="75" x14ac:dyDescent="0.25">
      <c r="A17" s="7"/>
      <c r="B17" s="3"/>
      <c r="C17" s="5"/>
      <c r="D17" s="3"/>
      <c r="E17" s="3"/>
      <c r="F17" s="52" t="s">
        <v>88</v>
      </c>
      <c r="G17" s="47" t="s">
        <v>61</v>
      </c>
      <c r="H17" s="5"/>
      <c r="I17" s="12" t="s">
        <v>89</v>
      </c>
      <c r="J17" s="26">
        <v>3</v>
      </c>
      <c r="K17" s="16"/>
      <c r="L17" s="9"/>
      <c r="M17" s="9"/>
    </row>
    <row r="18" spans="1:13" ht="30" x14ac:dyDescent="0.25">
      <c r="A18" s="7"/>
      <c r="B18" s="3"/>
      <c r="C18" s="5"/>
      <c r="D18" s="3"/>
      <c r="E18" s="3"/>
      <c r="F18" s="48" t="s">
        <v>90</v>
      </c>
      <c r="G18" s="47" t="s">
        <v>76</v>
      </c>
      <c r="H18" s="5"/>
      <c r="I18" s="12" t="s">
        <v>91</v>
      </c>
      <c r="J18" s="26">
        <v>2</v>
      </c>
      <c r="K18" s="16"/>
      <c r="L18" s="9"/>
      <c r="M18" s="9"/>
    </row>
    <row r="19" spans="1:13" ht="30" x14ac:dyDescent="0.25">
      <c r="A19" s="7"/>
      <c r="B19" s="3"/>
      <c r="C19" s="5"/>
      <c r="D19" s="3"/>
      <c r="E19" s="3"/>
      <c r="F19" s="48" t="s">
        <v>92</v>
      </c>
      <c r="G19" s="47" t="s">
        <v>93</v>
      </c>
      <c r="H19" s="5"/>
      <c r="I19" s="12" t="s">
        <v>94</v>
      </c>
      <c r="J19" s="26">
        <v>2</v>
      </c>
      <c r="K19" s="16"/>
      <c r="L19" s="9"/>
      <c r="M19" s="9"/>
    </row>
    <row r="20" spans="1:13" ht="60" x14ac:dyDescent="0.25">
      <c r="A20" s="7"/>
      <c r="B20" s="3"/>
      <c r="C20" s="5"/>
      <c r="D20" s="3"/>
      <c r="E20" s="3"/>
      <c r="F20" s="52" t="s">
        <v>95</v>
      </c>
      <c r="G20" s="47" t="s">
        <v>96</v>
      </c>
      <c r="H20" s="5"/>
      <c r="I20" s="12" t="s">
        <v>97</v>
      </c>
      <c r="J20" s="26">
        <v>2</v>
      </c>
      <c r="K20" s="16"/>
      <c r="L20" s="9"/>
      <c r="M20" s="9"/>
    </row>
    <row r="21" spans="1:13" ht="60" x14ac:dyDescent="0.25">
      <c r="A21" s="7"/>
      <c r="B21" s="3"/>
      <c r="C21" s="5"/>
      <c r="D21" s="3"/>
      <c r="E21" s="3"/>
      <c r="F21" s="54" t="s">
        <v>98</v>
      </c>
      <c r="G21" s="47" t="s">
        <v>99</v>
      </c>
      <c r="H21" s="5"/>
      <c r="I21" s="12" t="s">
        <v>100</v>
      </c>
      <c r="J21" s="26">
        <v>3</v>
      </c>
      <c r="K21" s="16"/>
      <c r="L21" s="9"/>
      <c r="M21" s="9"/>
    </row>
    <row r="22" spans="1:13" ht="29.25" x14ac:dyDescent="0.25">
      <c r="A22" s="7"/>
      <c r="B22" s="3"/>
      <c r="C22" s="5"/>
      <c r="D22" s="3"/>
      <c r="E22" s="3"/>
      <c r="F22" s="55" t="s">
        <v>101</v>
      </c>
      <c r="G22" s="3" t="s">
        <v>81</v>
      </c>
      <c r="H22" s="5"/>
      <c r="I22" s="12" t="s">
        <v>102</v>
      </c>
      <c r="J22" s="26">
        <v>1</v>
      </c>
      <c r="K22" s="16"/>
      <c r="L22" s="9"/>
      <c r="M22" s="9"/>
    </row>
    <row r="23" spans="1:13" x14ac:dyDescent="0.25">
      <c r="A23" s="7"/>
      <c r="B23" s="3"/>
      <c r="C23" s="5"/>
      <c r="D23" s="3"/>
      <c r="E23" s="3"/>
      <c r="F23" s="55"/>
      <c r="G23" s="3"/>
      <c r="H23" s="5"/>
      <c r="I23" s="12" t="s">
        <v>103</v>
      </c>
      <c r="J23" s="26">
        <v>2</v>
      </c>
      <c r="K23" s="16"/>
      <c r="L23" s="9"/>
      <c r="M23" s="9"/>
    </row>
    <row r="24" spans="1:13" ht="30" x14ac:dyDescent="0.25">
      <c r="A24" s="7"/>
      <c r="B24" s="3"/>
      <c r="C24" s="5"/>
      <c r="D24" s="3"/>
      <c r="E24" s="3"/>
      <c r="F24" s="56" t="s">
        <v>104</v>
      </c>
      <c r="G24" s="3"/>
      <c r="H24" s="5"/>
      <c r="I24" s="12" t="s">
        <v>105</v>
      </c>
      <c r="J24" s="26">
        <v>2</v>
      </c>
      <c r="K24" s="16"/>
      <c r="L24" s="9"/>
      <c r="M24" s="9"/>
    </row>
    <row r="25" spans="1:13" ht="30" x14ac:dyDescent="0.25">
      <c r="A25" s="7"/>
      <c r="B25" s="3"/>
      <c r="C25" s="5"/>
      <c r="D25" s="3"/>
      <c r="E25" s="3"/>
      <c r="F25" s="57" t="s">
        <v>106</v>
      </c>
      <c r="G25" s="58" t="s">
        <v>76</v>
      </c>
      <c r="H25" s="5"/>
      <c r="I25" s="12" t="s">
        <v>107</v>
      </c>
      <c r="J25" s="26">
        <v>1</v>
      </c>
      <c r="K25" s="16"/>
      <c r="L25" s="9"/>
      <c r="M25" s="9"/>
    </row>
    <row r="26" spans="1:13" ht="45" x14ac:dyDescent="0.25">
      <c r="A26" s="7"/>
      <c r="B26" s="3"/>
      <c r="C26" s="5"/>
      <c r="D26" s="3"/>
      <c r="E26" s="3"/>
      <c r="F26" s="59" t="s">
        <v>108</v>
      </c>
      <c r="G26" s="60" t="s">
        <v>109</v>
      </c>
      <c r="H26" s="5"/>
      <c r="I26" s="12" t="s">
        <v>110</v>
      </c>
      <c r="J26" s="26">
        <v>1</v>
      </c>
      <c r="K26" s="16"/>
      <c r="L26" s="9"/>
      <c r="M26" s="9"/>
    </row>
    <row r="27" spans="1:13" ht="45" x14ac:dyDescent="0.25">
      <c r="A27" s="7"/>
      <c r="B27" s="3"/>
      <c r="C27" s="5"/>
      <c r="D27" s="3"/>
      <c r="E27" s="3"/>
      <c r="F27" s="61" t="s">
        <v>111</v>
      </c>
      <c r="G27" s="62" t="s">
        <v>76</v>
      </c>
      <c r="H27" s="5"/>
      <c r="I27" s="12" t="s">
        <v>112</v>
      </c>
      <c r="J27" s="26">
        <v>1</v>
      </c>
      <c r="K27" s="16"/>
      <c r="L27" s="9"/>
      <c r="M27" s="9"/>
    </row>
    <row r="28" spans="1:13" ht="45" x14ac:dyDescent="0.25">
      <c r="A28" s="7"/>
      <c r="B28" s="3"/>
      <c r="C28" s="5"/>
      <c r="D28" s="3"/>
      <c r="E28" s="3"/>
      <c r="F28" s="61" t="s">
        <v>113</v>
      </c>
      <c r="G28" s="60" t="s">
        <v>76</v>
      </c>
      <c r="H28" s="5"/>
      <c r="I28" s="12" t="s">
        <v>114</v>
      </c>
      <c r="J28" s="26">
        <v>1</v>
      </c>
      <c r="K28" s="16"/>
      <c r="L28" s="9"/>
      <c r="M28" s="9"/>
    </row>
    <row r="29" spans="1:13" ht="60" x14ac:dyDescent="0.25">
      <c r="A29" s="7"/>
      <c r="B29" s="3"/>
      <c r="C29" s="5"/>
      <c r="D29" s="3"/>
      <c r="E29" s="3"/>
      <c r="F29" s="59" t="s">
        <v>115</v>
      </c>
      <c r="G29" s="62" t="s">
        <v>76</v>
      </c>
      <c r="H29" s="5"/>
      <c r="I29" s="12" t="s">
        <v>116</v>
      </c>
      <c r="J29" s="3">
        <v>4</v>
      </c>
      <c r="K29" s="16"/>
      <c r="L29" s="9"/>
      <c r="M29" s="9"/>
    </row>
    <row r="30" spans="1:13" ht="30" x14ac:dyDescent="0.25">
      <c r="A30" s="7"/>
      <c r="B30" s="3"/>
      <c r="C30" s="5"/>
      <c r="D30" s="3"/>
      <c r="E30" s="3"/>
      <c r="F30" s="59" t="s">
        <v>117</v>
      </c>
      <c r="G30" s="62" t="s">
        <v>118</v>
      </c>
      <c r="H30" s="5"/>
      <c r="I30" s="12" t="s">
        <v>119</v>
      </c>
      <c r="J30" s="63">
        <v>4</v>
      </c>
      <c r="K30" s="16"/>
      <c r="L30" s="9"/>
      <c r="M30" s="9"/>
    </row>
    <row r="31" spans="1:13" ht="45" x14ac:dyDescent="0.25">
      <c r="A31" s="7"/>
      <c r="B31" s="3"/>
      <c r="C31" s="5"/>
      <c r="D31" s="3"/>
      <c r="E31" s="3"/>
      <c r="F31" s="59" t="s">
        <v>120</v>
      </c>
      <c r="G31" s="60" t="s">
        <v>57</v>
      </c>
      <c r="H31" s="5"/>
      <c r="I31" s="12" t="s">
        <v>121</v>
      </c>
      <c r="J31" s="63">
        <v>2</v>
      </c>
      <c r="K31" s="16"/>
      <c r="L31" s="9"/>
      <c r="M31" s="9"/>
    </row>
    <row r="32" spans="1:13" ht="45" x14ac:dyDescent="0.25">
      <c r="A32" s="7"/>
      <c r="B32" s="3"/>
      <c r="C32" s="64"/>
      <c r="D32" s="65"/>
      <c r="E32" s="4"/>
      <c r="F32" s="59" t="s">
        <v>122</v>
      </c>
      <c r="G32" s="60" t="s">
        <v>57</v>
      </c>
      <c r="H32" s="5"/>
      <c r="I32" s="12" t="s">
        <v>123</v>
      </c>
      <c r="J32" s="63">
        <v>1</v>
      </c>
      <c r="K32" s="16"/>
      <c r="L32" s="9"/>
      <c r="M32" s="45"/>
    </row>
    <row r="33" spans="1:13" ht="45" x14ac:dyDescent="0.25">
      <c r="A33" s="7"/>
      <c r="B33" s="3"/>
      <c r="C33" s="5"/>
      <c r="D33" s="3"/>
      <c r="E33" s="3"/>
      <c r="F33" s="59" t="s">
        <v>124</v>
      </c>
      <c r="G33" s="60" t="s">
        <v>96</v>
      </c>
      <c r="H33" s="5"/>
      <c r="I33" s="12" t="s">
        <v>125</v>
      </c>
      <c r="J33" s="63">
        <v>1</v>
      </c>
      <c r="K33" s="16"/>
      <c r="L33" s="9"/>
      <c r="M33" s="9"/>
    </row>
    <row r="34" spans="1:13" ht="45" x14ac:dyDescent="0.25">
      <c r="A34" s="7"/>
      <c r="B34" s="3"/>
      <c r="C34" s="5"/>
      <c r="D34" s="3"/>
      <c r="E34" s="3"/>
      <c r="F34" s="59" t="s">
        <v>126</v>
      </c>
      <c r="G34" s="60" t="s">
        <v>76</v>
      </c>
      <c r="H34" s="5"/>
      <c r="I34" s="12"/>
      <c r="J34" s="63"/>
      <c r="K34" s="16"/>
      <c r="L34" s="9"/>
      <c r="M34" s="9"/>
    </row>
    <row r="35" spans="1:13" ht="75" x14ac:dyDescent="0.25">
      <c r="A35" s="7"/>
      <c r="B35" s="3"/>
      <c r="C35" s="5"/>
      <c r="D35" s="3"/>
      <c r="E35" s="3"/>
      <c r="F35" s="59" t="s">
        <v>127</v>
      </c>
      <c r="G35" s="60" t="s">
        <v>76</v>
      </c>
      <c r="H35" s="5"/>
      <c r="I35" s="53" t="s">
        <v>128</v>
      </c>
      <c r="J35" s="63"/>
      <c r="K35" s="16"/>
      <c r="L35" s="9"/>
      <c r="M35" s="9"/>
    </row>
    <row r="36" spans="1:13" ht="45" x14ac:dyDescent="0.25">
      <c r="A36" s="7"/>
      <c r="B36" s="3"/>
      <c r="C36" s="5"/>
      <c r="D36" s="3"/>
      <c r="E36" s="3"/>
      <c r="F36" s="59" t="s">
        <v>129</v>
      </c>
      <c r="G36" s="60" t="s">
        <v>76</v>
      </c>
      <c r="H36" s="12"/>
      <c r="I36" s="12" t="s">
        <v>130</v>
      </c>
      <c r="J36" s="63">
        <v>8</v>
      </c>
      <c r="K36" s="16"/>
      <c r="L36" s="9"/>
      <c r="M36" s="9"/>
    </row>
    <row r="37" spans="1:13" ht="30" x14ac:dyDescent="0.25">
      <c r="A37" s="7"/>
      <c r="B37" s="3"/>
      <c r="C37" s="5"/>
      <c r="D37" s="3"/>
      <c r="E37" s="3"/>
      <c r="F37" s="59" t="s">
        <v>131</v>
      </c>
      <c r="G37" s="60" t="s">
        <v>57</v>
      </c>
      <c r="H37" s="5"/>
      <c r="I37" s="12" t="s">
        <v>132</v>
      </c>
      <c r="J37" s="63">
        <v>1</v>
      </c>
      <c r="K37" s="16"/>
      <c r="L37" s="9"/>
      <c r="M37" s="9"/>
    </row>
    <row r="38" spans="1:13" ht="60" x14ac:dyDescent="0.25">
      <c r="A38" s="7"/>
      <c r="B38" s="3"/>
      <c r="C38" s="5"/>
      <c r="D38" s="3"/>
      <c r="E38" s="3"/>
      <c r="F38" s="59" t="s">
        <v>133</v>
      </c>
      <c r="G38" s="60" t="s">
        <v>76</v>
      </c>
      <c r="H38" s="5"/>
      <c r="I38" s="12" t="s">
        <v>134</v>
      </c>
      <c r="J38" s="63">
        <v>4</v>
      </c>
      <c r="K38" s="16"/>
      <c r="L38" s="9"/>
      <c r="M38" s="9"/>
    </row>
    <row r="39" spans="1:13" ht="60" x14ac:dyDescent="0.25">
      <c r="A39" s="7"/>
      <c r="B39" s="3"/>
      <c r="C39" s="5"/>
      <c r="D39" s="3"/>
      <c r="E39" s="3"/>
      <c r="F39" s="59" t="s">
        <v>135</v>
      </c>
      <c r="G39" s="60" t="s">
        <v>76</v>
      </c>
      <c r="H39" s="5"/>
      <c r="I39" s="12" t="s">
        <v>136</v>
      </c>
      <c r="J39" s="63">
        <v>4</v>
      </c>
      <c r="K39" s="16"/>
      <c r="L39" s="9"/>
      <c r="M39" s="9"/>
    </row>
    <row r="40" spans="1:13" ht="60" x14ac:dyDescent="0.25">
      <c r="A40" s="7"/>
      <c r="B40" s="3"/>
      <c r="C40" s="5"/>
      <c r="D40" s="3"/>
      <c r="E40" s="3"/>
      <c r="F40" s="59" t="s">
        <v>137</v>
      </c>
      <c r="G40" s="60" t="s">
        <v>76</v>
      </c>
      <c r="H40" s="5"/>
      <c r="I40" s="12" t="s">
        <v>138</v>
      </c>
      <c r="J40" s="26">
        <v>1</v>
      </c>
      <c r="K40" s="16"/>
      <c r="L40" s="9"/>
      <c r="M40" s="9"/>
    </row>
    <row r="41" spans="1:13" ht="60" x14ac:dyDescent="0.25">
      <c r="A41" s="7"/>
      <c r="B41" s="3"/>
      <c r="C41" s="5"/>
      <c r="D41" s="3"/>
      <c r="E41" s="3"/>
      <c r="F41" s="59" t="s">
        <v>139</v>
      </c>
      <c r="G41" s="60" t="s">
        <v>140</v>
      </c>
      <c r="H41" s="5"/>
      <c r="I41" s="12" t="s">
        <v>141</v>
      </c>
      <c r="J41" s="26">
        <v>1</v>
      </c>
      <c r="K41" s="16"/>
      <c r="L41" s="9"/>
      <c r="M41" s="9"/>
    </row>
    <row r="42" spans="1:13" ht="45" x14ac:dyDescent="0.25">
      <c r="A42" s="7"/>
      <c r="B42" s="3"/>
      <c r="C42" s="5"/>
      <c r="D42" s="3"/>
      <c r="E42" s="3"/>
      <c r="F42" s="61" t="s">
        <v>142</v>
      </c>
      <c r="G42" s="60" t="s">
        <v>76</v>
      </c>
      <c r="H42" s="5"/>
      <c r="I42" s="12" t="s">
        <v>143</v>
      </c>
      <c r="J42" s="26">
        <v>3</v>
      </c>
      <c r="K42" s="16"/>
      <c r="L42" s="9"/>
      <c r="M42" s="9"/>
    </row>
    <row r="43" spans="1:13" ht="30" x14ac:dyDescent="0.25">
      <c r="A43" s="7"/>
      <c r="B43" s="3"/>
      <c r="C43" s="5"/>
      <c r="D43" s="3"/>
      <c r="E43" s="3"/>
      <c r="F43" s="48" t="s">
        <v>144</v>
      </c>
      <c r="G43" s="50" t="s">
        <v>145</v>
      </c>
      <c r="H43" s="15"/>
      <c r="I43" s="66" t="s">
        <v>146</v>
      </c>
      <c r="J43" s="26">
        <v>4</v>
      </c>
      <c r="K43" s="16"/>
      <c r="L43" s="9"/>
      <c r="M43" s="9"/>
    </row>
    <row r="44" spans="1:13" ht="30" x14ac:dyDescent="0.25">
      <c r="A44" s="7"/>
      <c r="B44" s="3"/>
      <c r="C44" s="5"/>
      <c r="D44" s="3"/>
      <c r="E44" s="3"/>
      <c r="F44" s="48" t="s">
        <v>147</v>
      </c>
      <c r="G44" s="50" t="s">
        <v>148</v>
      </c>
      <c r="H44" s="15"/>
      <c r="I44" s="66" t="s">
        <v>149</v>
      </c>
      <c r="J44" s="26">
        <v>4</v>
      </c>
      <c r="K44" s="16"/>
      <c r="L44" s="9"/>
      <c r="M44" s="9"/>
    </row>
    <row r="45" spans="1:13" ht="30" x14ac:dyDescent="0.25">
      <c r="A45" s="7"/>
      <c r="B45" s="3"/>
      <c r="C45" s="5"/>
      <c r="D45" s="3"/>
      <c r="E45" s="3"/>
      <c r="F45" s="48" t="s">
        <v>150</v>
      </c>
      <c r="G45" s="50" t="s">
        <v>148</v>
      </c>
      <c r="H45" s="15"/>
      <c r="I45" s="15"/>
      <c r="J45" s="5"/>
      <c r="K45" s="16"/>
      <c r="L45" s="9"/>
      <c r="M45" s="9"/>
    </row>
    <row r="46" spans="1:13" ht="60" x14ac:dyDescent="0.25">
      <c r="A46" s="7"/>
      <c r="B46" s="3"/>
      <c r="C46" s="5"/>
      <c r="D46" s="3"/>
      <c r="E46" s="3"/>
      <c r="F46" s="48" t="s">
        <v>151</v>
      </c>
      <c r="G46" s="50" t="s">
        <v>140</v>
      </c>
      <c r="H46" s="15"/>
      <c r="I46" s="15"/>
      <c r="J46" s="5"/>
      <c r="K46" s="16"/>
      <c r="L46" s="9"/>
      <c r="M46" s="9"/>
    </row>
    <row r="47" spans="1:13" ht="45" x14ac:dyDescent="0.25">
      <c r="A47" s="7"/>
      <c r="B47" s="3"/>
      <c r="C47" s="5"/>
      <c r="D47" s="3"/>
      <c r="E47" s="3"/>
      <c r="F47" s="48" t="s">
        <v>152</v>
      </c>
      <c r="G47" s="50" t="s">
        <v>153</v>
      </c>
      <c r="H47" s="15"/>
      <c r="I47" s="66"/>
      <c r="J47" s="26"/>
      <c r="K47" s="16"/>
      <c r="L47" s="9"/>
      <c r="M47" s="9"/>
    </row>
    <row r="48" spans="1:13" ht="30" x14ac:dyDescent="0.25">
      <c r="A48" s="7"/>
      <c r="B48" s="3"/>
      <c r="C48" s="5"/>
      <c r="D48" s="3"/>
      <c r="E48" s="3"/>
      <c r="F48" s="48" t="s">
        <v>154</v>
      </c>
      <c r="G48" s="50" t="s">
        <v>81</v>
      </c>
      <c r="H48" s="15"/>
      <c r="I48" s="66"/>
      <c r="J48" s="26"/>
      <c r="K48" s="16"/>
      <c r="L48" s="9"/>
      <c r="M48" s="9"/>
    </row>
    <row r="49" spans="1:13" ht="45" x14ac:dyDescent="0.25">
      <c r="A49" s="7"/>
      <c r="B49" s="3"/>
      <c r="C49" s="5"/>
      <c r="D49" s="3"/>
      <c r="E49" s="3"/>
      <c r="F49" s="48" t="s">
        <v>155</v>
      </c>
      <c r="G49" s="50" t="s">
        <v>156</v>
      </c>
      <c r="H49" s="15"/>
      <c r="I49" s="66"/>
      <c r="J49" s="26"/>
      <c r="K49" s="16"/>
      <c r="L49" s="9"/>
      <c r="M49" s="9"/>
    </row>
    <row r="50" spans="1:13" ht="60" x14ac:dyDescent="0.25">
      <c r="A50" s="7"/>
      <c r="B50" s="3"/>
      <c r="C50" s="5"/>
      <c r="D50" s="3"/>
      <c r="E50" s="3"/>
      <c r="F50" s="48" t="s">
        <v>157</v>
      </c>
      <c r="G50" s="50" t="s">
        <v>158</v>
      </c>
      <c r="H50" s="15"/>
      <c r="I50" s="66"/>
      <c r="J50" s="26"/>
      <c r="K50" s="16"/>
      <c r="L50" s="9"/>
      <c r="M50" s="9"/>
    </row>
    <row r="51" spans="1:13" ht="45" x14ac:dyDescent="0.25">
      <c r="A51" s="7"/>
      <c r="B51" s="3"/>
      <c r="C51" s="5"/>
      <c r="D51" s="3"/>
      <c r="E51" s="3"/>
      <c r="F51" s="48" t="s">
        <v>78</v>
      </c>
      <c r="G51" s="50" t="s">
        <v>81</v>
      </c>
      <c r="H51" s="15"/>
      <c r="I51" s="66"/>
      <c r="J51" s="26"/>
      <c r="K51" s="16"/>
      <c r="L51" s="9"/>
      <c r="M51" s="9"/>
    </row>
    <row r="52" spans="1:13" ht="30" x14ac:dyDescent="0.25">
      <c r="A52" s="7"/>
      <c r="B52" s="3"/>
      <c r="C52" s="5"/>
      <c r="D52" s="3"/>
      <c r="E52" s="3"/>
      <c r="F52" s="48" t="s">
        <v>159</v>
      </c>
      <c r="G52" s="50" t="s">
        <v>81</v>
      </c>
      <c r="H52" s="15"/>
      <c r="I52" s="66"/>
      <c r="J52" s="26"/>
      <c r="K52" s="16"/>
      <c r="L52" s="9"/>
      <c r="M52" s="9"/>
    </row>
    <row r="53" spans="1:13" ht="60" x14ac:dyDescent="0.25">
      <c r="A53" s="7"/>
      <c r="B53" s="3"/>
      <c r="C53" s="5"/>
      <c r="D53" s="3"/>
      <c r="E53" s="3"/>
      <c r="F53" s="48" t="s">
        <v>160</v>
      </c>
      <c r="G53" s="50" t="s">
        <v>81</v>
      </c>
      <c r="H53" s="15"/>
      <c r="I53" s="66"/>
      <c r="J53" s="26"/>
      <c r="K53" s="16"/>
      <c r="L53" s="9"/>
      <c r="M53" s="9"/>
    </row>
    <row r="54" spans="1:13" ht="30" x14ac:dyDescent="0.25">
      <c r="A54" s="7"/>
      <c r="B54" s="3"/>
      <c r="C54" s="5"/>
      <c r="D54" s="3"/>
      <c r="E54" s="3"/>
      <c r="F54" s="48" t="s">
        <v>161</v>
      </c>
      <c r="G54" s="50" t="s">
        <v>81</v>
      </c>
      <c r="H54" s="15"/>
      <c r="I54" s="66"/>
      <c r="J54" s="26"/>
      <c r="K54" s="16"/>
      <c r="L54" s="9"/>
      <c r="M54" s="9"/>
    </row>
    <row r="55" spans="1:13" ht="45" x14ac:dyDescent="0.25">
      <c r="A55" s="7"/>
      <c r="B55" s="3"/>
      <c r="C55" s="5"/>
      <c r="D55" s="3"/>
      <c r="E55" s="3"/>
      <c r="F55" s="48" t="s">
        <v>162</v>
      </c>
      <c r="G55" s="50" t="s">
        <v>163</v>
      </c>
      <c r="H55" s="15"/>
      <c r="I55" s="66"/>
      <c r="J55" s="26"/>
      <c r="K55" s="16"/>
      <c r="L55" s="9"/>
      <c r="M55" s="9"/>
    </row>
    <row r="56" spans="1:13" ht="105" x14ac:dyDescent="0.25">
      <c r="A56" s="7"/>
      <c r="B56" s="3"/>
      <c r="C56" s="5"/>
      <c r="D56" s="3"/>
      <c r="E56" s="3"/>
      <c r="F56" s="51" t="s">
        <v>164</v>
      </c>
      <c r="G56" s="50" t="s">
        <v>165</v>
      </c>
      <c r="H56" s="15"/>
      <c r="I56" s="66"/>
      <c r="J56" s="26"/>
      <c r="K56" s="16"/>
      <c r="L56" s="9"/>
      <c r="M56" s="9"/>
    </row>
    <row r="57" spans="1:13" ht="60" x14ac:dyDescent="0.25">
      <c r="A57" s="7"/>
      <c r="B57" s="3"/>
      <c r="C57" s="5"/>
      <c r="D57" s="3"/>
      <c r="E57" s="3"/>
      <c r="F57" s="48" t="s">
        <v>166</v>
      </c>
      <c r="G57" s="58" t="s">
        <v>156</v>
      </c>
      <c r="H57" s="15"/>
      <c r="I57" s="66"/>
      <c r="J57" s="26"/>
      <c r="K57" s="16"/>
      <c r="L57" s="9"/>
      <c r="M57" s="9"/>
    </row>
    <row r="58" spans="1:13" ht="45" x14ac:dyDescent="0.25">
      <c r="A58" s="7"/>
      <c r="B58" s="3"/>
      <c r="C58" s="5"/>
      <c r="D58" s="3"/>
      <c r="E58" s="3"/>
      <c r="F58" s="48" t="s">
        <v>167</v>
      </c>
      <c r="G58" s="50" t="s">
        <v>168</v>
      </c>
      <c r="H58" s="15"/>
      <c r="I58" s="66"/>
      <c r="J58" s="26"/>
      <c r="K58" s="16"/>
      <c r="L58" s="9"/>
      <c r="M58" s="9"/>
    </row>
    <row r="59" spans="1:13" ht="30" x14ac:dyDescent="0.25">
      <c r="A59" s="7"/>
      <c r="B59" s="3"/>
      <c r="C59" s="5"/>
      <c r="D59" s="3"/>
      <c r="E59" s="3"/>
      <c r="F59" s="48" t="s">
        <v>169</v>
      </c>
      <c r="G59" s="50" t="s">
        <v>170</v>
      </c>
      <c r="H59" s="15"/>
      <c r="I59" s="66"/>
      <c r="J59" s="26"/>
      <c r="K59" s="16"/>
      <c r="L59" s="9"/>
      <c r="M59" s="9"/>
    </row>
    <row r="60" spans="1:13" ht="30" x14ac:dyDescent="0.25">
      <c r="A60" s="7"/>
      <c r="B60" s="3"/>
      <c r="C60" s="5"/>
      <c r="D60" s="3"/>
      <c r="E60" s="3"/>
      <c r="F60" s="48" t="s">
        <v>171</v>
      </c>
      <c r="G60" s="58" t="s">
        <v>172</v>
      </c>
      <c r="H60" s="15"/>
      <c r="I60" s="66"/>
      <c r="J60" s="26"/>
      <c r="K60" s="16"/>
      <c r="L60" s="9"/>
      <c r="M60" s="9"/>
    </row>
    <row r="61" spans="1:13" ht="60" x14ac:dyDescent="0.25">
      <c r="A61" s="7"/>
      <c r="B61" s="3"/>
      <c r="C61" s="5"/>
      <c r="D61" s="3"/>
      <c r="E61" s="3"/>
      <c r="F61" s="48" t="s">
        <v>173</v>
      </c>
      <c r="G61" s="50" t="s">
        <v>76</v>
      </c>
      <c r="H61" s="15"/>
      <c r="I61" s="66"/>
      <c r="J61" s="26"/>
      <c r="K61" s="16"/>
      <c r="L61" s="9"/>
      <c r="M61" s="9"/>
    </row>
    <row r="62" spans="1:13" ht="45" x14ac:dyDescent="0.25">
      <c r="A62" s="7"/>
      <c r="B62" s="3"/>
      <c r="C62" s="5"/>
      <c r="D62" s="3"/>
      <c r="E62" s="3"/>
      <c r="F62" s="48" t="s">
        <v>174</v>
      </c>
      <c r="G62" s="50" t="s">
        <v>81</v>
      </c>
      <c r="H62" s="15"/>
      <c r="I62" s="66"/>
      <c r="J62" s="26"/>
      <c r="K62" s="16"/>
      <c r="L62" s="9"/>
      <c r="M62" s="9"/>
    </row>
    <row r="63" spans="1:13" ht="60" x14ac:dyDescent="0.25">
      <c r="A63" s="7"/>
      <c r="B63" s="3"/>
      <c r="C63" s="5"/>
      <c r="D63" s="3"/>
      <c r="E63" s="3"/>
      <c r="F63" s="48" t="s">
        <v>175</v>
      </c>
      <c r="G63" s="50" t="s">
        <v>81</v>
      </c>
      <c r="H63" s="15"/>
      <c r="I63" s="66"/>
      <c r="J63" s="26"/>
      <c r="K63" s="16"/>
      <c r="L63" s="9"/>
      <c r="M63" s="9"/>
    </row>
    <row r="64" spans="1:13" ht="30" x14ac:dyDescent="0.25">
      <c r="A64" s="7"/>
      <c r="B64" s="3"/>
      <c r="C64" s="5"/>
      <c r="D64" s="3"/>
      <c r="E64" s="3"/>
      <c r="F64" s="48" t="s">
        <v>176</v>
      </c>
      <c r="G64" s="50" t="s">
        <v>172</v>
      </c>
      <c r="H64" s="15"/>
      <c r="I64" s="66"/>
      <c r="J64" s="26"/>
      <c r="K64" s="16"/>
      <c r="L64" s="9"/>
      <c r="M6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8DCF-9748-4A20-9E80-A432DD742D93}">
  <dimension ref="A1:M68"/>
  <sheetViews>
    <sheetView topLeftCell="A61" workbookViewId="0">
      <selection activeCell="F2" sqref="F2"/>
    </sheetView>
  </sheetViews>
  <sheetFormatPr defaultRowHeight="15" x14ac:dyDescent="0.25"/>
  <cols>
    <col min="5" max="5" width="12" bestFit="1" customWidth="1"/>
    <col min="6" max="6" width="28.5703125" bestFit="1" customWidth="1"/>
    <col min="7" max="7" width="10.28515625" bestFit="1" customWidth="1"/>
    <col min="8" max="8" width="18.140625" bestFit="1" customWidth="1"/>
    <col min="9" max="9" width="26.42578125" bestFit="1" customWidth="1"/>
    <col min="10" max="10" width="13.5703125" customWidth="1"/>
    <col min="11" max="11" width="9" bestFit="1" customWidth="1"/>
    <col min="13" max="13" width="19" bestFit="1" customWidth="1"/>
  </cols>
  <sheetData>
    <row r="1" spans="1:13" ht="45" x14ac:dyDescent="0.25">
      <c r="A1" s="6"/>
      <c r="B1" s="1" t="s">
        <v>0</v>
      </c>
      <c r="C1" s="1" t="s">
        <v>5</v>
      </c>
      <c r="D1" s="1" t="s">
        <v>6</v>
      </c>
      <c r="E1" s="1" t="s">
        <v>1</v>
      </c>
      <c r="F1" s="1" t="s">
        <v>2</v>
      </c>
      <c r="G1" s="2" t="s">
        <v>3</v>
      </c>
      <c r="H1" s="2" t="s">
        <v>4</v>
      </c>
      <c r="I1" s="2" t="s">
        <v>7</v>
      </c>
      <c r="J1" s="2" t="s">
        <v>8</v>
      </c>
      <c r="K1" s="11" t="s">
        <v>9</v>
      </c>
      <c r="L1" s="11" t="s">
        <v>10</v>
      </c>
      <c r="M1" s="11" t="s">
        <v>11</v>
      </c>
    </row>
    <row r="2" spans="1:13" ht="30" x14ac:dyDescent="0.25">
      <c r="A2" s="6"/>
      <c r="B2" s="37"/>
      <c r="C2" s="37"/>
      <c r="D2" s="37"/>
      <c r="E2" s="37"/>
      <c r="F2" s="38" t="s">
        <v>38</v>
      </c>
      <c r="G2" s="39"/>
      <c r="H2" s="39"/>
      <c r="I2" s="40" t="s">
        <v>39</v>
      </c>
      <c r="J2" s="39"/>
      <c r="K2" s="39"/>
      <c r="L2" s="39"/>
      <c r="M2" s="39"/>
    </row>
    <row r="3" spans="1:13" x14ac:dyDescent="0.25">
      <c r="A3" s="7"/>
      <c r="B3" s="3">
        <v>1</v>
      </c>
      <c r="C3" s="41" t="s">
        <v>40</v>
      </c>
      <c r="D3" s="42" t="s">
        <v>41</v>
      </c>
      <c r="E3" s="4" t="s">
        <v>42</v>
      </c>
      <c r="F3" s="67" t="s">
        <v>52</v>
      </c>
      <c r="G3" s="68" t="s">
        <v>53</v>
      </c>
      <c r="H3" s="5" t="s">
        <v>45</v>
      </c>
      <c r="I3" s="12" t="s">
        <v>46</v>
      </c>
      <c r="J3" s="26">
        <v>1</v>
      </c>
      <c r="K3" s="16" t="s">
        <v>47</v>
      </c>
      <c r="L3" s="9" t="s">
        <v>37</v>
      </c>
      <c r="M3" s="45" t="s">
        <v>28</v>
      </c>
    </row>
    <row r="4" spans="1:13" x14ac:dyDescent="0.25">
      <c r="A4" s="7"/>
      <c r="B4" s="3"/>
      <c r="C4" s="5"/>
      <c r="D4" s="3"/>
      <c r="E4" s="3"/>
      <c r="F4" s="67" t="s">
        <v>56</v>
      </c>
      <c r="G4" s="68" t="s">
        <v>57</v>
      </c>
      <c r="H4" s="5" t="s">
        <v>50</v>
      </c>
      <c r="I4" s="12" t="s">
        <v>51</v>
      </c>
      <c r="J4" s="26">
        <v>1</v>
      </c>
      <c r="K4" s="16"/>
      <c r="L4" s="9"/>
      <c r="M4" s="45" t="s">
        <v>29</v>
      </c>
    </row>
    <row r="5" spans="1:13" ht="60" x14ac:dyDescent="0.25">
      <c r="A5" s="7"/>
      <c r="B5" s="3"/>
      <c r="C5" s="13"/>
      <c r="D5" s="3"/>
      <c r="E5" s="3"/>
      <c r="F5" s="69" t="s">
        <v>177</v>
      </c>
      <c r="G5" s="68" t="s">
        <v>61</v>
      </c>
      <c r="H5" s="7" t="s">
        <v>54</v>
      </c>
      <c r="I5" s="12" t="s">
        <v>55</v>
      </c>
      <c r="J5" s="26">
        <v>1</v>
      </c>
      <c r="K5" s="16"/>
      <c r="L5" s="9"/>
      <c r="M5" s="45" t="s">
        <v>30</v>
      </c>
    </row>
    <row r="6" spans="1:13" x14ac:dyDescent="0.25">
      <c r="A6" s="7"/>
      <c r="B6" s="3"/>
      <c r="C6" s="5"/>
      <c r="D6" s="3"/>
      <c r="E6" s="3"/>
      <c r="F6" s="70" t="s">
        <v>64</v>
      </c>
      <c r="G6" s="68" t="s">
        <v>65</v>
      </c>
      <c r="H6" s="5" t="s">
        <v>58</v>
      </c>
      <c r="I6" s="12" t="s">
        <v>59</v>
      </c>
      <c r="J6" s="26">
        <v>1</v>
      </c>
      <c r="K6" s="16"/>
      <c r="L6" s="9"/>
      <c r="M6" s="9"/>
    </row>
    <row r="7" spans="1:13" ht="90" x14ac:dyDescent="0.25">
      <c r="A7" s="7"/>
      <c r="B7" s="3"/>
      <c r="C7" s="5"/>
      <c r="D7" s="3"/>
      <c r="E7" s="3"/>
      <c r="F7" s="71" t="s">
        <v>178</v>
      </c>
      <c r="G7" s="72" t="s">
        <v>44</v>
      </c>
      <c r="H7" s="12" t="s">
        <v>62</v>
      </c>
      <c r="I7" s="12" t="s">
        <v>63</v>
      </c>
      <c r="J7" s="26">
        <v>1</v>
      </c>
      <c r="K7" s="16"/>
      <c r="L7" s="9"/>
      <c r="M7" s="9"/>
    </row>
    <row r="8" spans="1:13" ht="45" x14ac:dyDescent="0.25">
      <c r="A8" s="7"/>
      <c r="B8" s="3"/>
      <c r="C8" s="5"/>
      <c r="D8" s="3"/>
      <c r="E8" s="3"/>
      <c r="F8" s="73" t="s">
        <v>179</v>
      </c>
      <c r="G8" s="74" t="s">
        <v>72</v>
      </c>
      <c r="H8" s="5" t="s">
        <v>66</v>
      </c>
      <c r="I8" s="12" t="s">
        <v>67</v>
      </c>
      <c r="J8" s="26">
        <v>1</v>
      </c>
      <c r="K8" s="16"/>
      <c r="L8" s="9"/>
      <c r="M8" s="9"/>
    </row>
    <row r="9" spans="1:13" ht="45" x14ac:dyDescent="0.25">
      <c r="A9" s="7"/>
      <c r="B9" s="3"/>
      <c r="C9" s="5"/>
      <c r="D9" s="3"/>
      <c r="E9" s="3"/>
      <c r="F9" s="71" t="s">
        <v>180</v>
      </c>
      <c r="G9" s="75" t="s">
        <v>44</v>
      </c>
      <c r="H9" s="5" t="s">
        <v>69</v>
      </c>
      <c r="I9" s="12" t="s">
        <v>70</v>
      </c>
      <c r="J9" s="26">
        <v>1</v>
      </c>
      <c r="K9" s="16"/>
      <c r="L9" s="9"/>
      <c r="M9" s="9"/>
    </row>
    <row r="10" spans="1:13" x14ac:dyDescent="0.25">
      <c r="A10" s="7"/>
      <c r="B10" s="3"/>
      <c r="C10" s="5"/>
      <c r="D10" s="3"/>
      <c r="E10" s="3"/>
      <c r="F10" s="70" t="s">
        <v>181</v>
      </c>
      <c r="G10" s="68" t="s">
        <v>76</v>
      </c>
      <c r="H10" s="5" t="s">
        <v>73</v>
      </c>
      <c r="I10" s="12" t="s">
        <v>74</v>
      </c>
      <c r="J10" s="26">
        <v>1</v>
      </c>
      <c r="K10" s="16"/>
      <c r="L10" s="9"/>
      <c r="M10" s="9"/>
    </row>
    <row r="11" spans="1:13" x14ac:dyDescent="0.25">
      <c r="A11" s="7"/>
      <c r="B11" s="3"/>
      <c r="C11" s="5"/>
      <c r="D11" s="3"/>
      <c r="E11" s="3"/>
      <c r="F11" s="70" t="s">
        <v>182</v>
      </c>
      <c r="G11" s="68" t="s">
        <v>76</v>
      </c>
      <c r="H11" s="5"/>
      <c r="I11" s="12" t="s">
        <v>77</v>
      </c>
      <c r="J11" s="26">
        <v>1</v>
      </c>
      <c r="K11" s="16"/>
      <c r="L11" s="9"/>
      <c r="M11" s="9"/>
    </row>
    <row r="12" spans="1:13" ht="60" x14ac:dyDescent="0.25">
      <c r="A12" s="7"/>
      <c r="B12" s="3"/>
      <c r="C12" s="5"/>
      <c r="D12" s="3"/>
      <c r="E12" s="3"/>
      <c r="F12" s="69" t="s">
        <v>183</v>
      </c>
      <c r="G12" s="76" t="s">
        <v>18</v>
      </c>
      <c r="H12" s="5"/>
      <c r="I12" s="12" t="s">
        <v>79</v>
      </c>
      <c r="J12" s="26">
        <v>1</v>
      </c>
      <c r="K12" s="16"/>
      <c r="L12" s="9"/>
      <c r="M12" s="9"/>
    </row>
    <row r="13" spans="1:13" x14ac:dyDescent="0.25">
      <c r="A13" s="7"/>
      <c r="B13" s="3"/>
      <c r="C13" s="5"/>
      <c r="D13" s="3"/>
      <c r="E13" s="3"/>
      <c r="F13" s="70" t="s">
        <v>184</v>
      </c>
      <c r="G13" s="68" t="s">
        <v>76</v>
      </c>
      <c r="H13" s="5"/>
      <c r="I13" s="12"/>
      <c r="J13" s="26"/>
      <c r="K13" s="16"/>
      <c r="L13" s="9"/>
      <c r="M13" s="9"/>
    </row>
    <row r="14" spans="1:13" x14ac:dyDescent="0.25">
      <c r="A14" s="7"/>
      <c r="B14" s="3"/>
      <c r="C14" s="5"/>
      <c r="D14" s="3"/>
      <c r="E14" s="3"/>
      <c r="F14" s="70" t="s">
        <v>185</v>
      </c>
      <c r="G14" s="68" t="s">
        <v>186</v>
      </c>
      <c r="H14" s="5"/>
      <c r="I14" s="53" t="s">
        <v>84</v>
      </c>
      <c r="J14" s="26"/>
      <c r="K14" s="16"/>
      <c r="L14" s="9"/>
      <c r="M14" s="9"/>
    </row>
    <row r="15" spans="1:13" ht="45" x14ac:dyDescent="0.25">
      <c r="A15" s="7"/>
      <c r="B15" s="3"/>
      <c r="C15" s="5"/>
      <c r="D15" s="3"/>
      <c r="E15" s="3"/>
      <c r="F15" s="69" t="s">
        <v>187</v>
      </c>
      <c r="G15" s="76" t="s">
        <v>44</v>
      </c>
      <c r="H15" s="5"/>
      <c r="I15" s="12" t="s">
        <v>87</v>
      </c>
      <c r="J15" s="26">
        <v>1</v>
      </c>
      <c r="K15" s="16"/>
      <c r="L15" s="9"/>
      <c r="M15" s="9"/>
    </row>
    <row r="16" spans="1:13" ht="60" x14ac:dyDescent="0.25">
      <c r="A16" s="7"/>
      <c r="B16" s="3"/>
      <c r="C16" s="5"/>
      <c r="D16" s="3"/>
      <c r="E16" s="3"/>
      <c r="F16" s="77" t="s">
        <v>98</v>
      </c>
      <c r="G16" s="78" t="s">
        <v>96</v>
      </c>
      <c r="H16" s="5"/>
      <c r="I16" s="12" t="s">
        <v>89</v>
      </c>
      <c r="J16" s="26">
        <v>3</v>
      </c>
      <c r="K16" s="16"/>
      <c r="L16" s="9"/>
      <c r="M16" s="9"/>
    </row>
    <row r="17" spans="1:13" x14ac:dyDescent="0.25">
      <c r="A17" s="7"/>
      <c r="B17" s="3"/>
      <c r="C17" s="5"/>
      <c r="D17" s="3"/>
      <c r="E17" s="3"/>
      <c r="F17" s="79" t="s">
        <v>188</v>
      </c>
      <c r="G17" s="47" t="s">
        <v>18</v>
      </c>
      <c r="H17" s="5"/>
      <c r="I17" s="12" t="s">
        <v>91</v>
      </c>
      <c r="J17" s="26">
        <v>2</v>
      </c>
      <c r="K17" s="16"/>
      <c r="L17" s="9"/>
      <c r="M17" s="9"/>
    </row>
    <row r="18" spans="1:13" x14ac:dyDescent="0.25">
      <c r="A18" s="7"/>
      <c r="B18" s="3"/>
      <c r="C18" s="5"/>
      <c r="D18" s="3"/>
      <c r="E18" s="3"/>
      <c r="F18" s="79" t="s">
        <v>189</v>
      </c>
      <c r="G18" s="47" t="s">
        <v>18</v>
      </c>
      <c r="H18" s="5"/>
      <c r="I18" s="12" t="s">
        <v>94</v>
      </c>
      <c r="J18" s="26">
        <v>2</v>
      </c>
      <c r="K18" s="16"/>
      <c r="L18" s="9"/>
      <c r="M18" s="9"/>
    </row>
    <row r="19" spans="1:13" x14ac:dyDescent="0.25">
      <c r="A19" s="7"/>
      <c r="B19" s="3"/>
      <c r="C19" s="5"/>
      <c r="D19" s="3"/>
      <c r="E19" s="3"/>
      <c r="F19" s="79" t="s">
        <v>190</v>
      </c>
      <c r="G19" s="47" t="s">
        <v>109</v>
      </c>
      <c r="H19" s="5"/>
      <c r="I19" s="12" t="s">
        <v>97</v>
      </c>
      <c r="J19" s="26">
        <v>2</v>
      </c>
      <c r="K19" s="16"/>
      <c r="L19" s="9"/>
      <c r="M19" s="9"/>
    </row>
    <row r="20" spans="1:13" x14ac:dyDescent="0.25">
      <c r="A20" s="7"/>
      <c r="B20" s="3"/>
      <c r="C20" s="5"/>
      <c r="D20" s="3"/>
      <c r="E20" s="3"/>
      <c r="F20" s="80" t="s">
        <v>191</v>
      </c>
      <c r="G20" s="58" t="s">
        <v>192</v>
      </c>
      <c r="H20" s="5"/>
      <c r="I20" s="12" t="s">
        <v>100</v>
      </c>
      <c r="J20" s="26">
        <v>3</v>
      </c>
      <c r="K20" s="16"/>
      <c r="L20" s="9"/>
      <c r="M20" s="9"/>
    </row>
    <row r="21" spans="1:13" x14ac:dyDescent="0.25">
      <c r="A21" s="7"/>
      <c r="B21" s="3"/>
      <c r="C21" s="5"/>
      <c r="D21" s="3"/>
      <c r="E21" s="3"/>
      <c r="F21" s="79" t="s">
        <v>193</v>
      </c>
      <c r="G21" s="47" t="s">
        <v>194</v>
      </c>
      <c r="H21" s="5"/>
      <c r="I21" s="12" t="s">
        <v>102</v>
      </c>
      <c r="J21" s="26">
        <v>1</v>
      </c>
      <c r="K21" s="16"/>
      <c r="L21" s="9"/>
      <c r="M21" s="9"/>
    </row>
    <row r="22" spans="1:13" ht="30" x14ac:dyDescent="0.25">
      <c r="A22" s="7"/>
      <c r="B22" s="3"/>
      <c r="C22" s="5"/>
      <c r="D22" s="3"/>
      <c r="E22" s="81"/>
      <c r="F22" s="82" t="s">
        <v>195</v>
      </c>
      <c r="G22" s="83" t="s">
        <v>65</v>
      </c>
      <c r="H22" s="84"/>
      <c r="I22" s="12" t="s">
        <v>103</v>
      </c>
      <c r="J22" s="26">
        <v>2</v>
      </c>
      <c r="K22" s="16"/>
      <c r="L22" s="9"/>
      <c r="M22" s="9"/>
    </row>
    <row r="23" spans="1:13" x14ac:dyDescent="0.25">
      <c r="A23" s="7"/>
      <c r="B23" s="3"/>
      <c r="C23" s="5"/>
      <c r="D23" s="3"/>
      <c r="E23" s="3"/>
      <c r="F23" s="55"/>
      <c r="G23" s="3"/>
      <c r="H23" s="5"/>
      <c r="I23" s="12" t="s">
        <v>105</v>
      </c>
      <c r="J23" s="26">
        <v>2</v>
      </c>
      <c r="K23" s="16"/>
      <c r="L23" s="9"/>
      <c r="M23" s="9"/>
    </row>
    <row r="24" spans="1:13" x14ac:dyDescent="0.25">
      <c r="A24" s="7"/>
      <c r="B24" s="3"/>
      <c r="C24" s="5"/>
      <c r="D24" s="3"/>
      <c r="E24" s="3"/>
      <c r="F24" s="55"/>
      <c r="G24" s="3"/>
      <c r="H24" s="5"/>
      <c r="I24" s="12" t="s">
        <v>107</v>
      </c>
      <c r="J24" s="26">
        <v>1</v>
      </c>
      <c r="K24" s="16"/>
      <c r="L24" s="9"/>
      <c r="M24" s="9"/>
    </row>
    <row r="25" spans="1:13" x14ac:dyDescent="0.25">
      <c r="A25" s="7"/>
      <c r="B25" s="3"/>
      <c r="C25" s="5"/>
      <c r="D25" s="3"/>
      <c r="E25" s="3"/>
      <c r="F25" s="55"/>
      <c r="G25" s="3"/>
      <c r="H25" s="5"/>
      <c r="I25" s="12" t="s">
        <v>110</v>
      </c>
      <c r="J25" s="26">
        <v>1</v>
      </c>
      <c r="K25" s="16"/>
      <c r="L25" s="9"/>
      <c r="M25" s="9"/>
    </row>
    <row r="26" spans="1:13" ht="30" x14ac:dyDescent="0.25">
      <c r="A26" s="7"/>
      <c r="B26" s="3"/>
      <c r="C26" s="5"/>
      <c r="D26" s="3"/>
      <c r="E26" s="3"/>
      <c r="F26" s="56" t="s">
        <v>104</v>
      </c>
      <c r="G26" s="3"/>
      <c r="H26" s="5"/>
      <c r="I26" s="12" t="s">
        <v>112</v>
      </c>
      <c r="J26" s="26">
        <v>1</v>
      </c>
      <c r="K26" s="16"/>
      <c r="L26" s="9"/>
      <c r="M26" s="9"/>
    </row>
    <row r="27" spans="1:13" ht="30" x14ac:dyDescent="0.25">
      <c r="A27" s="7"/>
      <c r="B27" s="3"/>
      <c r="C27" s="5"/>
      <c r="D27" s="3"/>
      <c r="E27" s="3"/>
      <c r="F27" s="57" t="s">
        <v>106</v>
      </c>
      <c r="G27" s="58" t="s">
        <v>76</v>
      </c>
      <c r="H27" s="5"/>
      <c r="I27" s="12" t="s">
        <v>114</v>
      </c>
      <c r="J27" s="26">
        <v>1</v>
      </c>
      <c r="K27" s="16"/>
      <c r="L27" s="9"/>
      <c r="M27" s="9"/>
    </row>
    <row r="28" spans="1:13" ht="45" x14ac:dyDescent="0.25">
      <c r="A28" s="7"/>
      <c r="B28" s="3"/>
      <c r="C28" s="5"/>
      <c r="D28" s="3"/>
      <c r="E28" s="3"/>
      <c r="F28" s="59" t="s">
        <v>108</v>
      </c>
      <c r="G28" s="60" t="s">
        <v>109</v>
      </c>
      <c r="H28" s="5"/>
      <c r="I28" s="12" t="s">
        <v>116</v>
      </c>
      <c r="J28" s="3">
        <v>4</v>
      </c>
      <c r="K28" s="16"/>
      <c r="L28" s="9"/>
      <c r="M28" s="9"/>
    </row>
    <row r="29" spans="1:13" ht="45" x14ac:dyDescent="0.25">
      <c r="A29" s="7"/>
      <c r="B29" s="3"/>
      <c r="C29" s="5"/>
      <c r="D29" s="3"/>
      <c r="E29" s="3"/>
      <c r="F29" s="61" t="s">
        <v>111</v>
      </c>
      <c r="G29" s="62" t="s">
        <v>76</v>
      </c>
      <c r="H29" s="5"/>
      <c r="I29" s="12" t="s">
        <v>119</v>
      </c>
      <c r="J29" s="63">
        <v>4</v>
      </c>
      <c r="K29" s="16"/>
      <c r="L29" s="9"/>
      <c r="M29" s="9"/>
    </row>
    <row r="30" spans="1:13" ht="45" x14ac:dyDescent="0.25">
      <c r="A30" s="7"/>
      <c r="B30" s="3"/>
      <c r="C30" s="5"/>
      <c r="D30" s="3"/>
      <c r="E30" s="3"/>
      <c r="F30" s="61" t="s">
        <v>113</v>
      </c>
      <c r="G30" s="60" t="s">
        <v>76</v>
      </c>
      <c r="H30" s="5"/>
      <c r="I30" s="12" t="s">
        <v>121</v>
      </c>
      <c r="J30" s="63">
        <v>2</v>
      </c>
      <c r="K30" s="16"/>
      <c r="L30" s="9"/>
      <c r="M30" s="9"/>
    </row>
    <row r="31" spans="1:13" ht="60" x14ac:dyDescent="0.25">
      <c r="A31" s="7"/>
      <c r="B31" s="3"/>
      <c r="C31" s="5"/>
      <c r="D31" s="3"/>
      <c r="E31" s="3"/>
      <c r="F31" s="59" t="s">
        <v>115</v>
      </c>
      <c r="G31" s="62" t="s">
        <v>76</v>
      </c>
      <c r="H31" s="5"/>
      <c r="I31" s="12" t="s">
        <v>123</v>
      </c>
      <c r="J31" s="63">
        <v>1</v>
      </c>
      <c r="K31" s="16"/>
      <c r="L31" s="9"/>
      <c r="M31" s="9"/>
    </row>
    <row r="32" spans="1:13" ht="30" x14ac:dyDescent="0.25">
      <c r="A32" s="7"/>
      <c r="B32" s="3"/>
      <c r="C32" s="5"/>
      <c r="D32" s="3"/>
      <c r="E32" s="3"/>
      <c r="F32" s="59" t="s">
        <v>117</v>
      </c>
      <c r="G32" s="62" t="s">
        <v>118</v>
      </c>
      <c r="H32" s="5"/>
      <c r="I32" s="12" t="s">
        <v>125</v>
      </c>
      <c r="J32" s="63">
        <v>1</v>
      </c>
      <c r="K32" s="16"/>
      <c r="L32" s="9"/>
      <c r="M32" s="9"/>
    </row>
    <row r="33" spans="1:13" ht="45" x14ac:dyDescent="0.25">
      <c r="A33" s="7"/>
      <c r="B33" s="3"/>
      <c r="C33" s="5"/>
      <c r="D33" s="3"/>
      <c r="E33" s="3"/>
      <c r="F33" s="59" t="s">
        <v>120</v>
      </c>
      <c r="G33" s="60" t="s">
        <v>57</v>
      </c>
      <c r="H33" s="5"/>
      <c r="I33" s="12"/>
      <c r="J33" s="63"/>
      <c r="K33" s="16"/>
      <c r="L33" s="9"/>
      <c r="M33" s="9"/>
    </row>
    <row r="34" spans="1:13" ht="45" x14ac:dyDescent="0.25">
      <c r="A34" s="7"/>
      <c r="B34" s="3"/>
      <c r="C34" s="64"/>
      <c r="D34" s="65"/>
      <c r="E34" s="4"/>
      <c r="F34" s="59" t="s">
        <v>122</v>
      </c>
      <c r="G34" s="60" t="s">
        <v>57</v>
      </c>
      <c r="H34" s="5"/>
      <c r="I34" s="53" t="s">
        <v>128</v>
      </c>
      <c r="J34" s="63"/>
      <c r="K34" s="16"/>
      <c r="L34" s="9"/>
      <c r="M34" s="45"/>
    </row>
    <row r="35" spans="1:13" ht="45" x14ac:dyDescent="0.25">
      <c r="A35" s="7"/>
      <c r="B35" s="3"/>
      <c r="C35" s="5"/>
      <c r="D35" s="3"/>
      <c r="E35" s="3"/>
      <c r="F35" s="59" t="s">
        <v>124</v>
      </c>
      <c r="G35" s="60" t="s">
        <v>96</v>
      </c>
      <c r="H35" s="5"/>
      <c r="I35" s="12" t="s">
        <v>130</v>
      </c>
      <c r="J35" s="63">
        <v>8</v>
      </c>
      <c r="K35" s="16"/>
      <c r="L35" s="9"/>
      <c r="M35" s="9"/>
    </row>
    <row r="36" spans="1:13" ht="45" x14ac:dyDescent="0.25">
      <c r="A36" s="7"/>
      <c r="B36" s="3"/>
      <c r="C36" s="5"/>
      <c r="D36" s="3"/>
      <c r="E36" s="3"/>
      <c r="F36" s="59" t="s">
        <v>126</v>
      </c>
      <c r="G36" s="60" t="s">
        <v>76</v>
      </c>
      <c r="H36" s="5"/>
      <c r="I36" s="12" t="s">
        <v>132</v>
      </c>
      <c r="J36" s="63">
        <v>1</v>
      </c>
      <c r="K36" s="16"/>
      <c r="L36" s="9"/>
      <c r="M36" s="9"/>
    </row>
    <row r="37" spans="1:13" ht="75" x14ac:dyDescent="0.25">
      <c r="A37" s="7"/>
      <c r="B37" s="3"/>
      <c r="C37" s="5"/>
      <c r="D37" s="3"/>
      <c r="E37" s="3"/>
      <c r="F37" s="59" t="s">
        <v>127</v>
      </c>
      <c r="G37" s="60" t="s">
        <v>76</v>
      </c>
      <c r="H37" s="5"/>
      <c r="I37" s="12" t="s">
        <v>134</v>
      </c>
      <c r="J37" s="63">
        <v>4</v>
      </c>
      <c r="K37" s="16"/>
      <c r="L37" s="9"/>
      <c r="M37" s="9"/>
    </row>
    <row r="38" spans="1:13" ht="45" x14ac:dyDescent="0.25">
      <c r="A38" s="7"/>
      <c r="B38" s="3"/>
      <c r="C38" s="5"/>
      <c r="D38" s="3"/>
      <c r="E38" s="3"/>
      <c r="F38" s="59" t="s">
        <v>129</v>
      </c>
      <c r="G38" s="60" t="s">
        <v>76</v>
      </c>
      <c r="H38" s="12"/>
      <c r="I38" s="12" t="s">
        <v>136</v>
      </c>
      <c r="J38" s="63">
        <v>4</v>
      </c>
      <c r="K38" s="16"/>
      <c r="L38" s="9"/>
      <c r="M38" s="9"/>
    </row>
    <row r="39" spans="1:13" ht="30" x14ac:dyDescent="0.25">
      <c r="A39" s="7"/>
      <c r="B39" s="3"/>
      <c r="C39" s="5"/>
      <c r="D39" s="3"/>
      <c r="E39" s="3"/>
      <c r="F39" s="59" t="s">
        <v>131</v>
      </c>
      <c r="G39" s="60" t="s">
        <v>57</v>
      </c>
      <c r="H39" s="5"/>
      <c r="I39" s="12" t="s">
        <v>138</v>
      </c>
      <c r="J39" s="26">
        <v>1</v>
      </c>
      <c r="K39" s="16"/>
      <c r="L39" s="9"/>
      <c r="M39" s="9"/>
    </row>
    <row r="40" spans="1:13" ht="60" x14ac:dyDescent="0.25">
      <c r="A40" s="7"/>
      <c r="B40" s="3"/>
      <c r="C40" s="5"/>
      <c r="D40" s="3"/>
      <c r="E40" s="3"/>
      <c r="F40" s="59" t="s">
        <v>133</v>
      </c>
      <c r="G40" s="60" t="s">
        <v>76</v>
      </c>
      <c r="H40" s="5"/>
      <c r="I40" s="12" t="s">
        <v>141</v>
      </c>
      <c r="J40" s="26">
        <v>1</v>
      </c>
      <c r="K40" s="16"/>
      <c r="L40" s="9"/>
      <c r="M40" s="9"/>
    </row>
    <row r="41" spans="1:13" ht="60" x14ac:dyDescent="0.25">
      <c r="A41" s="7"/>
      <c r="B41" s="3"/>
      <c r="C41" s="5"/>
      <c r="D41" s="3"/>
      <c r="E41" s="3"/>
      <c r="F41" s="59" t="s">
        <v>135</v>
      </c>
      <c r="G41" s="60" t="s">
        <v>76</v>
      </c>
      <c r="H41" s="5"/>
      <c r="I41" s="12" t="s">
        <v>143</v>
      </c>
      <c r="J41" s="26">
        <v>3</v>
      </c>
      <c r="K41" s="16"/>
      <c r="L41" s="9"/>
      <c r="M41" s="9"/>
    </row>
    <row r="42" spans="1:13" ht="60" x14ac:dyDescent="0.25">
      <c r="A42" s="7"/>
      <c r="B42" s="3"/>
      <c r="C42" s="5"/>
      <c r="D42" s="3"/>
      <c r="E42" s="3"/>
      <c r="F42" s="59" t="s">
        <v>137</v>
      </c>
      <c r="G42" s="60" t="s">
        <v>76</v>
      </c>
      <c r="H42" s="5"/>
      <c r="I42" s="66" t="s">
        <v>146</v>
      </c>
      <c r="J42" s="26">
        <v>4</v>
      </c>
      <c r="K42" s="16"/>
      <c r="L42" s="9"/>
      <c r="M42" s="9"/>
    </row>
    <row r="43" spans="1:13" ht="60" x14ac:dyDescent="0.25">
      <c r="A43" s="7"/>
      <c r="B43" s="3"/>
      <c r="C43" s="5"/>
      <c r="D43" s="3"/>
      <c r="E43" s="3"/>
      <c r="F43" s="59" t="s">
        <v>139</v>
      </c>
      <c r="G43" s="60" t="s">
        <v>140</v>
      </c>
      <c r="H43" s="5"/>
      <c r="I43" s="66" t="s">
        <v>149</v>
      </c>
      <c r="J43" s="26">
        <v>4</v>
      </c>
      <c r="K43" s="16"/>
      <c r="L43" s="9"/>
      <c r="M43" s="9"/>
    </row>
    <row r="44" spans="1:13" ht="45" x14ac:dyDescent="0.25">
      <c r="A44" s="7"/>
      <c r="B44" s="3"/>
      <c r="C44" s="5"/>
      <c r="D44" s="3"/>
      <c r="E44" s="3"/>
      <c r="F44" s="61" t="s">
        <v>142</v>
      </c>
      <c r="G44" s="60" t="s">
        <v>76</v>
      </c>
      <c r="H44" s="5"/>
      <c r="I44" s="15"/>
      <c r="J44" s="5"/>
      <c r="K44" s="16"/>
      <c r="L44" s="9"/>
      <c r="M44" s="9"/>
    </row>
    <row r="45" spans="1:13" ht="30" x14ac:dyDescent="0.25">
      <c r="A45" s="7"/>
      <c r="B45" s="3"/>
      <c r="C45" s="5"/>
      <c r="D45" s="3"/>
      <c r="E45" s="3"/>
      <c r="F45" s="48" t="s">
        <v>144</v>
      </c>
      <c r="G45" s="50" t="s">
        <v>145</v>
      </c>
      <c r="H45" s="15"/>
      <c r="I45" s="5"/>
      <c r="J45" s="5"/>
      <c r="K45" s="16"/>
      <c r="L45" s="9"/>
      <c r="M45" s="9"/>
    </row>
    <row r="46" spans="1:13" ht="30" x14ac:dyDescent="0.25">
      <c r="A46" s="7"/>
      <c r="B46" s="3"/>
      <c r="C46" s="5"/>
      <c r="D46" s="3"/>
      <c r="E46" s="3"/>
      <c r="F46" s="48" t="s">
        <v>147</v>
      </c>
      <c r="G46" s="50" t="s">
        <v>148</v>
      </c>
      <c r="H46" s="15"/>
      <c r="I46" s="5"/>
      <c r="J46" s="5"/>
      <c r="K46" s="16"/>
      <c r="L46" s="9"/>
      <c r="M46" s="9"/>
    </row>
    <row r="47" spans="1:13" ht="30" x14ac:dyDescent="0.25">
      <c r="A47" s="7"/>
      <c r="B47" s="3"/>
      <c r="C47" s="5"/>
      <c r="D47" s="3"/>
      <c r="E47" s="3"/>
      <c r="F47" s="48" t="s">
        <v>150</v>
      </c>
      <c r="G47" s="50" t="s">
        <v>148</v>
      </c>
      <c r="H47" s="15"/>
      <c r="I47" s="5"/>
      <c r="J47" s="5"/>
      <c r="K47" s="16"/>
      <c r="L47" s="9"/>
      <c r="M47" s="9"/>
    </row>
    <row r="48" spans="1:13" ht="60" x14ac:dyDescent="0.25">
      <c r="A48" s="7"/>
      <c r="B48" s="3"/>
      <c r="C48" s="5"/>
      <c r="D48" s="3"/>
      <c r="E48" s="3"/>
      <c r="F48" s="48" t="s">
        <v>151</v>
      </c>
      <c r="G48" s="50" t="s">
        <v>140</v>
      </c>
      <c r="H48" s="15"/>
      <c r="I48" s="15"/>
      <c r="J48" s="5"/>
      <c r="K48" s="16"/>
      <c r="L48" s="9"/>
      <c r="M48" s="9"/>
    </row>
    <row r="49" spans="1:13" ht="45" x14ac:dyDescent="0.25">
      <c r="A49" s="7"/>
      <c r="B49" s="3"/>
      <c r="C49" s="5"/>
      <c r="D49" s="3"/>
      <c r="E49" s="3"/>
      <c r="F49" s="48" t="s">
        <v>152</v>
      </c>
      <c r="G49" s="50" t="s">
        <v>153</v>
      </c>
      <c r="H49" s="15"/>
      <c r="I49" s="66"/>
      <c r="J49" s="26"/>
      <c r="K49" s="16"/>
      <c r="L49" s="9"/>
      <c r="M49" s="9"/>
    </row>
    <row r="50" spans="1:13" ht="30" x14ac:dyDescent="0.25">
      <c r="A50" s="7"/>
      <c r="B50" s="3"/>
      <c r="C50" s="5"/>
      <c r="D50" s="3"/>
      <c r="E50" s="3"/>
      <c r="F50" s="48" t="s">
        <v>154</v>
      </c>
      <c r="G50" s="50" t="s">
        <v>81</v>
      </c>
      <c r="H50" s="15"/>
      <c r="I50" s="66"/>
      <c r="J50" s="26"/>
      <c r="K50" s="16"/>
      <c r="L50" s="9"/>
      <c r="M50" s="9"/>
    </row>
    <row r="51" spans="1:13" ht="45" x14ac:dyDescent="0.25">
      <c r="A51" s="7"/>
      <c r="B51" s="3"/>
      <c r="C51" s="5"/>
      <c r="D51" s="3"/>
      <c r="E51" s="3"/>
      <c r="F51" s="48" t="s">
        <v>155</v>
      </c>
      <c r="G51" s="50" t="s">
        <v>156</v>
      </c>
      <c r="H51" s="15"/>
      <c r="I51" s="66"/>
      <c r="J51" s="26"/>
      <c r="K51" s="16"/>
      <c r="L51" s="9"/>
      <c r="M51" s="9"/>
    </row>
    <row r="52" spans="1:13" ht="60" x14ac:dyDescent="0.25">
      <c r="A52" s="7"/>
      <c r="B52" s="3"/>
      <c r="C52" s="5"/>
      <c r="D52" s="3"/>
      <c r="E52" s="3"/>
      <c r="F52" s="48" t="s">
        <v>157</v>
      </c>
      <c r="G52" s="50" t="s">
        <v>158</v>
      </c>
      <c r="H52" s="15"/>
      <c r="I52" s="66"/>
      <c r="J52" s="26"/>
      <c r="K52" s="16"/>
      <c r="L52" s="9"/>
      <c r="M52" s="9"/>
    </row>
    <row r="53" spans="1:13" ht="45" x14ac:dyDescent="0.25">
      <c r="A53" s="7"/>
      <c r="B53" s="3"/>
      <c r="C53" s="5"/>
      <c r="D53" s="3"/>
      <c r="E53" s="3"/>
      <c r="F53" s="48" t="s">
        <v>78</v>
      </c>
      <c r="G53" s="50" t="s">
        <v>81</v>
      </c>
      <c r="H53" s="15"/>
      <c r="I53" s="66"/>
      <c r="J53" s="26"/>
      <c r="K53" s="16"/>
      <c r="L53" s="9"/>
      <c r="M53" s="9"/>
    </row>
    <row r="54" spans="1:13" ht="30" x14ac:dyDescent="0.25">
      <c r="A54" s="7"/>
      <c r="B54" s="3"/>
      <c r="C54" s="5"/>
      <c r="D54" s="3"/>
      <c r="E54" s="3"/>
      <c r="F54" s="48" t="s">
        <v>159</v>
      </c>
      <c r="G54" s="50" t="s">
        <v>81</v>
      </c>
      <c r="H54" s="15"/>
      <c r="I54" s="66"/>
      <c r="J54" s="26"/>
      <c r="K54" s="16"/>
      <c r="L54" s="9"/>
      <c r="M54" s="9"/>
    </row>
    <row r="55" spans="1:13" ht="60" x14ac:dyDescent="0.25">
      <c r="A55" s="7"/>
      <c r="B55" s="3"/>
      <c r="C55" s="5"/>
      <c r="D55" s="3"/>
      <c r="E55" s="3"/>
      <c r="F55" s="48" t="s">
        <v>160</v>
      </c>
      <c r="G55" s="50" t="s">
        <v>81</v>
      </c>
      <c r="H55" s="15"/>
      <c r="I55" s="66"/>
      <c r="J55" s="26"/>
      <c r="K55" s="16"/>
      <c r="L55" s="9"/>
      <c r="M55" s="9"/>
    </row>
    <row r="56" spans="1:13" ht="30" x14ac:dyDescent="0.25">
      <c r="A56" s="7"/>
      <c r="B56" s="3"/>
      <c r="C56" s="5"/>
      <c r="D56" s="3"/>
      <c r="E56" s="3"/>
      <c r="F56" s="48" t="s">
        <v>161</v>
      </c>
      <c r="G56" s="50" t="s">
        <v>81</v>
      </c>
      <c r="H56" s="15"/>
      <c r="I56" s="66"/>
      <c r="J56" s="26"/>
      <c r="K56" s="16"/>
      <c r="L56" s="9"/>
      <c r="M56" s="9"/>
    </row>
    <row r="57" spans="1:13" ht="45" x14ac:dyDescent="0.25">
      <c r="A57" s="7"/>
      <c r="B57" s="3"/>
      <c r="C57" s="5"/>
      <c r="D57" s="3"/>
      <c r="E57" s="3"/>
      <c r="F57" s="48" t="s">
        <v>162</v>
      </c>
      <c r="G57" s="50" t="s">
        <v>163</v>
      </c>
      <c r="H57" s="15"/>
      <c r="I57" s="66"/>
      <c r="J57" s="26"/>
      <c r="K57" s="16"/>
      <c r="L57" s="9"/>
      <c r="M57" s="9"/>
    </row>
    <row r="58" spans="1:13" ht="105" x14ac:dyDescent="0.25">
      <c r="A58" s="7"/>
      <c r="B58" s="3"/>
      <c r="C58" s="5"/>
      <c r="D58" s="3"/>
      <c r="E58" s="3"/>
      <c r="F58" s="51" t="s">
        <v>164</v>
      </c>
      <c r="G58" s="50" t="s">
        <v>165</v>
      </c>
      <c r="H58" s="15"/>
      <c r="I58" s="66"/>
      <c r="J58" s="26"/>
      <c r="K58" s="16"/>
      <c r="L58" s="9"/>
      <c r="M58" s="9"/>
    </row>
    <row r="59" spans="1:13" ht="60" x14ac:dyDescent="0.25">
      <c r="A59" s="7"/>
      <c r="B59" s="3"/>
      <c r="C59" s="5"/>
      <c r="D59" s="3"/>
      <c r="E59" s="3"/>
      <c r="F59" s="48" t="s">
        <v>166</v>
      </c>
      <c r="G59" s="58" t="s">
        <v>156</v>
      </c>
      <c r="H59" s="15"/>
      <c r="I59" s="66"/>
      <c r="J59" s="26"/>
      <c r="K59" s="16"/>
      <c r="L59" s="9"/>
      <c r="M59" s="9"/>
    </row>
    <row r="60" spans="1:13" ht="45" x14ac:dyDescent="0.25">
      <c r="A60" s="7"/>
      <c r="B60" s="3"/>
      <c r="C60" s="5"/>
      <c r="D60" s="3"/>
      <c r="E60" s="3"/>
      <c r="F60" s="48" t="s">
        <v>167</v>
      </c>
      <c r="G60" s="50" t="s">
        <v>168</v>
      </c>
      <c r="H60" s="15"/>
      <c r="I60" s="66"/>
      <c r="J60" s="26"/>
      <c r="K60" s="16"/>
      <c r="L60" s="9"/>
      <c r="M60" s="9"/>
    </row>
    <row r="61" spans="1:13" ht="30" x14ac:dyDescent="0.25">
      <c r="A61" s="7"/>
      <c r="B61" s="3"/>
      <c r="C61" s="5"/>
      <c r="D61" s="3"/>
      <c r="E61" s="3"/>
      <c r="F61" s="48" t="s">
        <v>196</v>
      </c>
      <c r="G61" s="50" t="s">
        <v>170</v>
      </c>
      <c r="H61" s="15"/>
      <c r="I61" s="66"/>
      <c r="J61" s="26"/>
      <c r="K61" s="16"/>
      <c r="L61" s="9"/>
      <c r="M61" s="9"/>
    </row>
    <row r="62" spans="1:13" ht="30" x14ac:dyDescent="0.25">
      <c r="A62" s="7"/>
      <c r="B62" s="3"/>
      <c r="C62" s="5"/>
      <c r="D62" s="3"/>
      <c r="E62" s="3"/>
      <c r="F62" s="48" t="s">
        <v>171</v>
      </c>
      <c r="G62" s="58" t="s">
        <v>172</v>
      </c>
      <c r="H62" s="15"/>
      <c r="I62" s="66"/>
      <c r="J62" s="26"/>
      <c r="K62" s="16"/>
      <c r="L62" s="9"/>
      <c r="M62" s="9"/>
    </row>
    <row r="63" spans="1:13" ht="60" x14ac:dyDescent="0.25">
      <c r="A63" s="7"/>
      <c r="B63" s="3"/>
      <c r="C63" s="5"/>
      <c r="D63" s="3"/>
      <c r="E63" s="3"/>
      <c r="F63" s="48" t="s">
        <v>173</v>
      </c>
      <c r="G63" s="50" t="s">
        <v>76</v>
      </c>
      <c r="H63" s="15"/>
      <c r="I63" s="66"/>
      <c r="J63" s="26"/>
      <c r="K63" s="16"/>
      <c r="L63" s="9"/>
      <c r="M63" s="9"/>
    </row>
    <row r="64" spans="1:13" ht="45" x14ac:dyDescent="0.25">
      <c r="A64" s="7"/>
      <c r="B64" s="3"/>
      <c r="C64" s="5"/>
      <c r="D64" s="3"/>
      <c r="E64" s="3"/>
      <c r="F64" s="48" t="s">
        <v>174</v>
      </c>
      <c r="G64" s="50" t="s">
        <v>81</v>
      </c>
      <c r="H64" s="15"/>
      <c r="I64" s="66"/>
      <c r="J64" s="26"/>
      <c r="K64" s="16"/>
      <c r="L64" s="9"/>
      <c r="M64" s="9"/>
    </row>
    <row r="65" spans="1:13" ht="60" x14ac:dyDescent="0.25">
      <c r="A65" s="7"/>
      <c r="B65" s="3"/>
      <c r="C65" s="5"/>
      <c r="D65" s="3"/>
      <c r="E65" s="3"/>
      <c r="F65" s="48" t="s">
        <v>175</v>
      </c>
      <c r="G65" s="50" t="s">
        <v>81</v>
      </c>
      <c r="H65" s="15"/>
      <c r="I65" s="66"/>
      <c r="J65" s="26"/>
      <c r="K65" s="16"/>
      <c r="L65" s="9"/>
      <c r="M65" s="9"/>
    </row>
    <row r="66" spans="1:13" ht="30" x14ac:dyDescent="0.25">
      <c r="A66" s="7"/>
      <c r="B66" s="3"/>
      <c r="C66" s="5"/>
      <c r="D66" s="3"/>
      <c r="E66" s="3"/>
      <c r="F66" s="48" t="s">
        <v>176</v>
      </c>
      <c r="G66" s="50" t="s">
        <v>172</v>
      </c>
      <c r="H66" s="15"/>
      <c r="I66" s="66"/>
      <c r="J66" s="26"/>
      <c r="K66" s="16"/>
      <c r="L66" s="9"/>
      <c r="M66" s="9"/>
    </row>
    <row r="67" spans="1:13" x14ac:dyDescent="0.25">
      <c r="A67" s="7"/>
      <c r="B67" s="3"/>
      <c r="C67" s="5"/>
      <c r="D67" s="3"/>
      <c r="E67" s="3"/>
      <c r="F67" s="85" t="s">
        <v>197</v>
      </c>
      <c r="G67" s="86" t="s">
        <v>172</v>
      </c>
      <c r="H67" s="15"/>
      <c r="I67" s="66"/>
      <c r="J67" s="26"/>
      <c r="K67" s="16"/>
      <c r="L67" s="9"/>
      <c r="M67" s="9"/>
    </row>
    <row r="68" spans="1:13" x14ac:dyDescent="0.25">
      <c r="A68" s="7"/>
      <c r="B68" s="3"/>
      <c r="C68" s="5"/>
      <c r="D68" s="3"/>
      <c r="E68" s="3"/>
      <c r="F68" s="87" t="s">
        <v>198</v>
      </c>
      <c r="G68" s="86" t="s">
        <v>199</v>
      </c>
      <c r="H68" s="15"/>
      <c r="I68" s="66"/>
      <c r="J68" s="26"/>
      <c r="K68" s="16"/>
      <c r="L68" s="9"/>
      <c r="M6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CAA2-C60C-4319-A93E-796FDC749C2D}">
  <dimension ref="A1:H21"/>
  <sheetViews>
    <sheetView tabSelected="1" topLeftCell="A7" workbookViewId="0">
      <selection activeCell="B21" sqref="B21"/>
    </sheetView>
  </sheetViews>
  <sheetFormatPr defaultRowHeight="15" x14ac:dyDescent="0.25"/>
  <cols>
    <col min="1" max="1" width="5.7109375" customWidth="1"/>
    <col min="2" max="2" width="30.7109375" customWidth="1"/>
    <col min="3" max="3" width="16" customWidth="1"/>
    <col min="4" max="4" width="16.5703125" customWidth="1"/>
    <col min="5" max="5" width="13.7109375" style="98" customWidth="1"/>
    <col min="6" max="6" width="9.85546875" style="99" customWidth="1"/>
    <col min="7" max="8" width="13.7109375" style="98" customWidth="1"/>
    <col min="257" max="257" width="5.7109375" customWidth="1"/>
    <col min="258" max="258" width="30.7109375" customWidth="1"/>
    <col min="259" max="259" width="16" customWidth="1"/>
    <col min="260" max="260" width="16.5703125" customWidth="1"/>
    <col min="261" max="261" width="13.7109375" customWidth="1"/>
    <col min="262" max="262" width="9.85546875" customWidth="1"/>
    <col min="263" max="264" width="13.7109375" customWidth="1"/>
    <col min="513" max="513" width="5.7109375" customWidth="1"/>
    <col min="514" max="514" width="30.7109375" customWidth="1"/>
    <col min="515" max="515" width="16" customWidth="1"/>
    <col min="516" max="516" width="16.5703125" customWidth="1"/>
    <col min="517" max="517" width="13.7109375" customWidth="1"/>
    <col min="518" max="518" width="9.85546875" customWidth="1"/>
    <col min="519" max="520" width="13.7109375" customWidth="1"/>
    <col min="769" max="769" width="5.7109375" customWidth="1"/>
    <col min="770" max="770" width="30.7109375" customWidth="1"/>
    <col min="771" max="771" width="16" customWidth="1"/>
    <col min="772" max="772" width="16.5703125" customWidth="1"/>
    <col min="773" max="773" width="13.7109375" customWidth="1"/>
    <col min="774" max="774" width="9.85546875" customWidth="1"/>
    <col min="775" max="776" width="13.7109375" customWidth="1"/>
    <col min="1025" max="1025" width="5.7109375" customWidth="1"/>
    <col min="1026" max="1026" width="30.7109375" customWidth="1"/>
    <col min="1027" max="1027" width="16" customWidth="1"/>
    <col min="1028" max="1028" width="16.5703125" customWidth="1"/>
    <col min="1029" max="1029" width="13.7109375" customWidth="1"/>
    <col min="1030" max="1030" width="9.85546875" customWidth="1"/>
    <col min="1031" max="1032" width="13.7109375" customWidth="1"/>
    <col min="1281" max="1281" width="5.7109375" customWidth="1"/>
    <col min="1282" max="1282" width="30.7109375" customWidth="1"/>
    <col min="1283" max="1283" width="16" customWidth="1"/>
    <col min="1284" max="1284" width="16.5703125" customWidth="1"/>
    <col min="1285" max="1285" width="13.7109375" customWidth="1"/>
    <col min="1286" max="1286" width="9.85546875" customWidth="1"/>
    <col min="1287" max="1288" width="13.7109375" customWidth="1"/>
    <col min="1537" max="1537" width="5.7109375" customWidth="1"/>
    <col min="1538" max="1538" width="30.7109375" customWidth="1"/>
    <col min="1539" max="1539" width="16" customWidth="1"/>
    <col min="1540" max="1540" width="16.5703125" customWidth="1"/>
    <col min="1541" max="1541" width="13.7109375" customWidth="1"/>
    <col min="1542" max="1542" width="9.85546875" customWidth="1"/>
    <col min="1543" max="1544" width="13.7109375" customWidth="1"/>
    <col min="1793" max="1793" width="5.7109375" customWidth="1"/>
    <col min="1794" max="1794" width="30.7109375" customWidth="1"/>
    <col min="1795" max="1795" width="16" customWidth="1"/>
    <col min="1796" max="1796" width="16.5703125" customWidth="1"/>
    <col min="1797" max="1797" width="13.7109375" customWidth="1"/>
    <col min="1798" max="1798" width="9.85546875" customWidth="1"/>
    <col min="1799" max="1800" width="13.7109375" customWidth="1"/>
    <col min="2049" max="2049" width="5.7109375" customWidth="1"/>
    <col min="2050" max="2050" width="30.7109375" customWidth="1"/>
    <col min="2051" max="2051" width="16" customWidth="1"/>
    <col min="2052" max="2052" width="16.5703125" customWidth="1"/>
    <col min="2053" max="2053" width="13.7109375" customWidth="1"/>
    <col min="2054" max="2054" width="9.85546875" customWidth="1"/>
    <col min="2055" max="2056" width="13.7109375" customWidth="1"/>
    <col min="2305" max="2305" width="5.7109375" customWidth="1"/>
    <col min="2306" max="2306" width="30.7109375" customWidth="1"/>
    <col min="2307" max="2307" width="16" customWidth="1"/>
    <col min="2308" max="2308" width="16.5703125" customWidth="1"/>
    <col min="2309" max="2309" width="13.7109375" customWidth="1"/>
    <col min="2310" max="2310" width="9.85546875" customWidth="1"/>
    <col min="2311" max="2312" width="13.7109375" customWidth="1"/>
    <col min="2561" max="2561" width="5.7109375" customWidth="1"/>
    <col min="2562" max="2562" width="30.7109375" customWidth="1"/>
    <col min="2563" max="2563" width="16" customWidth="1"/>
    <col min="2564" max="2564" width="16.5703125" customWidth="1"/>
    <col min="2565" max="2565" width="13.7109375" customWidth="1"/>
    <col min="2566" max="2566" width="9.85546875" customWidth="1"/>
    <col min="2567" max="2568" width="13.7109375" customWidth="1"/>
    <col min="2817" max="2817" width="5.7109375" customWidth="1"/>
    <col min="2818" max="2818" width="30.7109375" customWidth="1"/>
    <col min="2819" max="2819" width="16" customWidth="1"/>
    <col min="2820" max="2820" width="16.5703125" customWidth="1"/>
    <col min="2821" max="2821" width="13.7109375" customWidth="1"/>
    <col min="2822" max="2822" width="9.85546875" customWidth="1"/>
    <col min="2823" max="2824" width="13.7109375" customWidth="1"/>
    <col min="3073" max="3073" width="5.7109375" customWidth="1"/>
    <col min="3074" max="3074" width="30.7109375" customWidth="1"/>
    <col min="3075" max="3075" width="16" customWidth="1"/>
    <col min="3076" max="3076" width="16.5703125" customWidth="1"/>
    <col min="3077" max="3077" width="13.7109375" customWidth="1"/>
    <col min="3078" max="3078" width="9.85546875" customWidth="1"/>
    <col min="3079" max="3080" width="13.7109375" customWidth="1"/>
    <col min="3329" max="3329" width="5.7109375" customWidth="1"/>
    <col min="3330" max="3330" width="30.7109375" customWidth="1"/>
    <col min="3331" max="3331" width="16" customWidth="1"/>
    <col min="3332" max="3332" width="16.5703125" customWidth="1"/>
    <col min="3333" max="3333" width="13.7109375" customWidth="1"/>
    <col min="3334" max="3334" width="9.85546875" customWidth="1"/>
    <col min="3335" max="3336" width="13.7109375" customWidth="1"/>
    <col min="3585" max="3585" width="5.7109375" customWidth="1"/>
    <col min="3586" max="3586" width="30.7109375" customWidth="1"/>
    <col min="3587" max="3587" width="16" customWidth="1"/>
    <col min="3588" max="3588" width="16.5703125" customWidth="1"/>
    <col min="3589" max="3589" width="13.7109375" customWidth="1"/>
    <col min="3590" max="3590" width="9.85546875" customWidth="1"/>
    <col min="3591" max="3592" width="13.7109375" customWidth="1"/>
    <col min="3841" max="3841" width="5.7109375" customWidth="1"/>
    <col min="3842" max="3842" width="30.7109375" customWidth="1"/>
    <col min="3843" max="3843" width="16" customWidth="1"/>
    <col min="3844" max="3844" width="16.5703125" customWidth="1"/>
    <col min="3845" max="3845" width="13.7109375" customWidth="1"/>
    <col min="3846" max="3846" width="9.85546875" customWidth="1"/>
    <col min="3847" max="3848" width="13.7109375" customWidth="1"/>
    <col min="4097" max="4097" width="5.7109375" customWidth="1"/>
    <col min="4098" max="4098" width="30.7109375" customWidth="1"/>
    <col min="4099" max="4099" width="16" customWidth="1"/>
    <col min="4100" max="4100" width="16.5703125" customWidth="1"/>
    <col min="4101" max="4101" width="13.7109375" customWidth="1"/>
    <col min="4102" max="4102" width="9.85546875" customWidth="1"/>
    <col min="4103" max="4104" width="13.7109375" customWidth="1"/>
    <col min="4353" max="4353" width="5.7109375" customWidth="1"/>
    <col min="4354" max="4354" width="30.7109375" customWidth="1"/>
    <col min="4355" max="4355" width="16" customWidth="1"/>
    <col min="4356" max="4356" width="16.5703125" customWidth="1"/>
    <col min="4357" max="4357" width="13.7109375" customWidth="1"/>
    <col min="4358" max="4358" width="9.85546875" customWidth="1"/>
    <col min="4359" max="4360" width="13.7109375" customWidth="1"/>
    <col min="4609" max="4609" width="5.7109375" customWidth="1"/>
    <col min="4610" max="4610" width="30.7109375" customWidth="1"/>
    <col min="4611" max="4611" width="16" customWidth="1"/>
    <col min="4612" max="4612" width="16.5703125" customWidth="1"/>
    <col min="4613" max="4613" width="13.7109375" customWidth="1"/>
    <col min="4614" max="4614" width="9.85546875" customWidth="1"/>
    <col min="4615" max="4616" width="13.7109375" customWidth="1"/>
    <col min="4865" max="4865" width="5.7109375" customWidth="1"/>
    <col min="4866" max="4866" width="30.7109375" customWidth="1"/>
    <col min="4867" max="4867" width="16" customWidth="1"/>
    <col min="4868" max="4868" width="16.5703125" customWidth="1"/>
    <col min="4869" max="4869" width="13.7109375" customWidth="1"/>
    <col min="4870" max="4870" width="9.85546875" customWidth="1"/>
    <col min="4871" max="4872" width="13.7109375" customWidth="1"/>
    <col min="5121" max="5121" width="5.7109375" customWidth="1"/>
    <col min="5122" max="5122" width="30.7109375" customWidth="1"/>
    <col min="5123" max="5123" width="16" customWidth="1"/>
    <col min="5124" max="5124" width="16.5703125" customWidth="1"/>
    <col min="5125" max="5125" width="13.7109375" customWidth="1"/>
    <col min="5126" max="5126" width="9.85546875" customWidth="1"/>
    <col min="5127" max="5128" width="13.7109375" customWidth="1"/>
    <col min="5377" max="5377" width="5.7109375" customWidth="1"/>
    <col min="5378" max="5378" width="30.7109375" customWidth="1"/>
    <col min="5379" max="5379" width="16" customWidth="1"/>
    <col min="5380" max="5380" width="16.5703125" customWidth="1"/>
    <col min="5381" max="5381" width="13.7109375" customWidth="1"/>
    <col min="5382" max="5382" width="9.85546875" customWidth="1"/>
    <col min="5383" max="5384" width="13.7109375" customWidth="1"/>
    <col min="5633" max="5633" width="5.7109375" customWidth="1"/>
    <col min="5634" max="5634" width="30.7109375" customWidth="1"/>
    <col min="5635" max="5635" width="16" customWidth="1"/>
    <col min="5636" max="5636" width="16.5703125" customWidth="1"/>
    <col min="5637" max="5637" width="13.7109375" customWidth="1"/>
    <col min="5638" max="5638" width="9.85546875" customWidth="1"/>
    <col min="5639" max="5640" width="13.7109375" customWidth="1"/>
    <col min="5889" max="5889" width="5.7109375" customWidth="1"/>
    <col min="5890" max="5890" width="30.7109375" customWidth="1"/>
    <col min="5891" max="5891" width="16" customWidth="1"/>
    <col min="5892" max="5892" width="16.5703125" customWidth="1"/>
    <col min="5893" max="5893" width="13.7109375" customWidth="1"/>
    <col min="5894" max="5894" width="9.85546875" customWidth="1"/>
    <col min="5895" max="5896" width="13.7109375" customWidth="1"/>
    <col min="6145" max="6145" width="5.7109375" customWidth="1"/>
    <col min="6146" max="6146" width="30.7109375" customWidth="1"/>
    <col min="6147" max="6147" width="16" customWidth="1"/>
    <col min="6148" max="6148" width="16.5703125" customWidth="1"/>
    <col min="6149" max="6149" width="13.7109375" customWidth="1"/>
    <col min="6150" max="6150" width="9.85546875" customWidth="1"/>
    <col min="6151" max="6152" width="13.7109375" customWidth="1"/>
    <col min="6401" max="6401" width="5.7109375" customWidth="1"/>
    <col min="6402" max="6402" width="30.7109375" customWidth="1"/>
    <col min="6403" max="6403" width="16" customWidth="1"/>
    <col min="6404" max="6404" width="16.5703125" customWidth="1"/>
    <col min="6405" max="6405" width="13.7109375" customWidth="1"/>
    <col min="6406" max="6406" width="9.85546875" customWidth="1"/>
    <col min="6407" max="6408" width="13.7109375" customWidth="1"/>
    <col min="6657" max="6657" width="5.7109375" customWidth="1"/>
    <col min="6658" max="6658" width="30.7109375" customWidth="1"/>
    <col min="6659" max="6659" width="16" customWidth="1"/>
    <col min="6660" max="6660" width="16.5703125" customWidth="1"/>
    <col min="6661" max="6661" width="13.7109375" customWidth="1"/>
    <col min="6662" max="6662" width="9.85546875" customWidth="1"/>
    <col min="6663" max="6664" width="13.7109375" customWidth="1"/>
    <col min="6913" max="6913" width="5.7109375" customWidth="1"/>
    <col min="6914" max="6914" width="30.7109375" customWidth="1"/>
    <col min="6915" max="6915" width="16" customWidth="1"/>
    <col min="6916" max="6916" width="16.5703125" customWidth="1"/>
    <col min="6917" max="6917" width="13.7109375" customWidth="1"/>
    <col min="6918" max="6918" width="9.85546875" customWidth="1"/>
    <col min="6919" max="6920" width="13.7109375" customWidth="1"/>
    <col min="7169" max="7169" width="5.7109375" customWidth="1"/>
    <col min="7170" max="7170" width="30.7109375" customWidth="1"/>
    <col min="7171" max="7171" width="16" customWidth="1"/>
    <col min="7172" max="7172" width="16.5703125" customWidth="1"/>
    <col min="7173" max="7173" width="13.7109375" customWidth="1"/>
    <col min="7174" max="7174" width="9.85546875" customWidth="1"/>
    <col min="7175" max="7176" width="13.7109375" customWidth="1"/>
    <col min="7425" max="7425" width="5.7109375" customWidth="1"/>
    <col min="7426" max="7426" width="30.7109375" customWidth="1"/>
    <col min="7427" max="7427" width="16" customWidth="1"/>
    <col min="7428" max="7428" width="16.5703125" customWidth="1"/>
    <col min="7429" max="7429" width="13.7109375" customWidth="1"/>
    <col min="7430" max="7430" width="9.85546875" customWidth="1"/>
    <col min="7431" max="7432" width="13.7109375" customWidth="1"/>
    <col min="7681" max="7681" width="5.7109375" customWidth="1"/>
    <col min="7682" max="7682" width="30.7109375" customWidth="1"/>
    <col min="7683" max="7683" width="16" customWidth="1"/>
    <col min="7684" max="7684" width="16.5703125" customWidth="1"/>
    <col min="7685" max="7685" width="13.7109375" customWidth="1"/>
    <col min="7686" max="7686" width="9.85546875" customWidth="1"/>
    <col min="7687" max="7688" width="13.7109375" customWidth="1"/>
    <col min="7937" max="7937" width="5.7109375" customWidth="1"/>
    <col min="7938" max="7938" width="30.7109375" customWidth="1"/>
    <col min="7939" max="7939" width="16" customWidth="1"/>
    <col min="7940" max="7940" width="16.5703125" customWidth="1"/>
    <col min="7941" max="7941" width="13.7109375" customWidth="1"/>
    <col min="7942" max="7942" width="9.85546875" customWidth="1"/>
    <col min="7943" max="7944" width="13.7109375" customWidth="1"/>
    <col min="8193" max="8193" width="5.7109375" customWidth="1"/>
    <col min="8194" max="8194" width="30.7109375" customWidth="1"/>
    <col min="8195" max="8195" width="16" customWidth="1"/>
    <col min="8196" max="8196" width="16.5703125" customWidth="1"/>
    <col min="8197" max="8197" width="13.7109375" customWidth="1"/>
    <col min="8198" max="8198" width="9.85546875" customWidth="1"/>
    <col min="8199" max="8200" width="13.7109375" customWidth="1"/>
    <col min="8449" max="8449" width="5.7109375" customWidth="1"/>
    <col min="8450" max="8450" width="30.7109375" customWidth="1"/>
    <col min="8451" max="8451" width="16" customWidth="1"/>
    <col min="8452" max="8452" width="16.5703125" customWidth="1"/>
    <col min="8453" max="8453" width="13.7109375" customWidth="1"/>
    <col min="8454" max="8454" width="9.85546875" customWidth="1"/>
    <col min="8455" max="8456" width="13.7109375" customWidth="1"/>
    <col min="8705" max="8705" width="5.7109375" customWidth="1"/>
    <col min="8706" max="8706" width="30.7109375" customWidth="1"/>
    <col min="8707" max="8707" width="16" customWidth="1"/>
    <col min="8708" max="8708" width="16.5703125" customWidth="1"/>
    <col min="8709" max="8709" width="13.7109375" customWidth="1"/>
    <col min="8710" max="8710" width="9.85546875" customWidth="1"/>
    <col min="8711" max="8712" width="13.7109375" customWidth="1"/>
    <col min="8961" max="8961" width="5.7109375" customWidth="1"/>
    <col min="8962" max="8962" width="30.7109375" customWidth="1"/>
    <col min="8963" max="8963" width="16" customWidth="1"/>
    <col min="8964" max="8964" width="16.5703125" customWidth="1"/>
    <col min="8965" max="8965" width="13.7109375" customWidth="1"/>
    <col min="8966" max="8966" width="9.85546875" customWidth="1"/>
    <col min="8967" max="8968" width="13.7109375" customWidth="1"/>
    <col min="9217" max="9217" width="5.7109375" customWidth="1"/>
    <col min="9218" max="9218" width="30.7109375" customWidth="1"/>
    <col min="9219" max="9219" width="16" customWidth="1"/>
    <col min="9220" max="9220" width="16.5703125" customWidth="1"/>
    <col min="9221" max="9221" width="13.7109375" customWidth="1"/>
    <col min="9222" max="9222" width="9.85546875" customWidth="1"/>
    <col min="9223" max="9224" width="13.7109375" customWidth="1"/>
    <col min="9473" max="9473" width="5.7109375" customWidth="1"/>
    <col min="9474" max="9474" width="30.7109375" customWidth="1"/>
    <col min="9475" max="9475" width="16" customWidth="1"/>
    <col min="9476" max="9476" width="16.5703125" customWidth="1"/>
    <col min="9477" max="9477" width="13.7109375" customWidth="1"/>
    <col min="9478" max="9478" width="9.85546875" customWidth="1"/>
    <col min="9479" max="9480" width="13.7109375" customWidth="1"/>
    <col min="9729" max="9729" width="5.7109375" customWidth="1"/>
    <col min="9730" max="9730" width="30.7109375" customWidth="1"/>
    <col min="9731" max="9731" width="16" customWidth="1"/>
    <col min="9732" max="9732" width="16.5703125" customWidth="1"/>
    <col min="9733" max="9733" width="13.7109375" customWidth="1"/>
    <col min="9734" max="9734" width="9.85546875" customWidth="1"/>
    <col min="9735" max="9736" width="13.7109375" customWidth="1"/>
    <col min="9985" max="9985" width="5.7109375" customWidth="1"/>
    <col min="9986" max="9986" width="30.7109375" customWidth="1"/>
    <col min="9987" max="9987" width="16" customWidth="1"/>
    <col min="9988" max="9988" width="16.5703125" customWidth="1"/>
    <col min="9989" max="9989" width="13.7109375" customWidth="1"/>
    <col min="9990" max="9990" width="9.85546875" customWidth="1"/>
    <col min="9991" max="9992" width="13.7109375" customWidth="1"/>
    <col min="10241" max="10241" width="5.7109375" customWidth="1"/>
    <col min="10242" max="10242" width="30.7109375" customWidth="1"/>
    <col min="10243" max="10243" width="16" customWidth="1"/>
    <col min="10244" max="10244" width="16.5703125" customWidth="1"/>
    <col min="10245" max="10245" width="13.7109375" customWidth="1"/>
    <col min="10246" max="10246" width="9.85546875" customWidth="1"/>
    <col min="10247" max="10248" width="13.7109375" customWidth="1"/>
    <col min="10497" max="10497" width="5.7109375" customWidth="1"/>
    <col min="10498" max="10498" width="30.7109375" customWidth="1"/>
    <col min="10499" max="10499" width="16" customWidth="1"/>
    <col min="10500" max="10500" width="16.5703125" customWidth="1"/>
    <col min="10501" max="10501" width="13.7109375" customWidth="1"/>
    <col min="10502" max="10502" width="9.85546875" customWidth="1"/>
    <col min="10503" max="10504" width="13.7109375" customWidth="1"/>
    <col min="10753" max="10753" width="5.7109375" customWidth="1"/>
    <col min="10754" max="10754" width="30.7109375" customWidth="1"/>
    <col min="10755" max="10755" width="16" customWidth="1"/>
    <col min="10756" max="10756" width="16.5703125" customWidth="1"/>
    <col min="10757" max="10757" width="13.7109375" customWidth="1"/>
    <col min="10758" max="10758" width="9.85546875" customWidth="1"/>
    <col min="10759" max="10760" width="13.7109375" customWidth="1"/>
    <col min="11009" max="11009" width="5.7109375" customWidth="1"/>
    <col min="11010" max="11010" width="30.7109375" customWidth="1"/>
    <col min="11011" max="11011" width="16" customWidth="1"/>
    <col min="11012" max="11012" width="16.5703125" customWidth="1"/>
    <col min="11013" max="11013" width="13.7109375" customWidth="1"/>
    <col min="11014" max="11014" width="9.85546875" customWidth="1"/>
    <col min="11015" max="11016" width="13.7109375" customWidth="1"/>
    <col min="11265" max="11265" width="5.7109375" customWidth="1"/>
    <col min="11266" max="11266" width="30.7109375" customWidth="1"/>
    <col min="11267" max="11267" width="16" customWidth="1"/>
    <col min="11268" max="11268" width="16.5703125" customWidth="1"/>
    <col min="11269" max="11269" width="13.7109375" customWidth="1"/>
    <col min="11270" max="11270" width="9.85546875" customWidth="1"/>
    <col min="11271" max="11272" width="13.7109375" customWidth="1"/>
    <col min="11521" max="11521" width="5.7109375" customWidth="1"/>
    <col min="11522" max="11522" width="30.7109375" customWidth="1"/>
    <col min="11523" max="11523" width="16" customWidth="1"/>
    <col min="11524" max="11524" width="16.5703125" customWidth="1"/>
    <col min="11525" max="11525" width="13.7109375" customWidth="1"/>
    <col min="11526" max="11526" width="9.85546875" customWidth="1"/>
    <col min="11527" max="11528" width="13.7109375" customWidth="1"/>
    <col min="11777" max="11777" width="5.7109375" customWidth="1"/>
    <col min="11778" max="11778" width="30.7109375" customWidth="1"/>
    <col min="11779" max="11779" width="16" customWidth="1"/>
    <col min="11780" max="11780" width="16.5703125" customWidth="1"/>
    <col min="11781" max="11781" width="13.7109375" customWidth="1"/>
    <col min="11782" max="11782" width="9.85546875" customWidth="1"/>
    <col min="11783" max="11784" width="13.7109375" customWidth="1"/>
    <col min="12033" max="12033" width="5.7109375" customWidth="1"/>
    <col min="12034" max="12034" width="30.7109375" customWidth="1"/>
    <col min="12035" max="12035" width="16" customWidth="1"/>
    <col min="12036" max="12036" width="16.5703125" customWidth="1"/>
    <col min="12037" max="12037" width="13.7109375" customWidth="1"/>
    <col min="12038" max="12038" width="9.85546875" customWidth="1"/>
    <col min="12039" max="12040" width="13.7109375" customWidth="1"/>
    <col min="12289" max="12289" width="5.7109375" customWidth="1"/>
    <col min="12290" max="12290" width="30.7109375" customWidth="1"/>
    <col min="12291" max="12291" width="16" customWidth="1"/>
    <col min="12292" max="12292" width="16.5703125" customWidth="1"/>
    <col min="12293" max="12293" width="13.7109375" customWidth="1"/>
    <col min="12294" max="12294" width="9.85546875" customWidth="1"/>
    <col min="12295" max="12296" width="13.7109375" customWidth="1"/>
    <col min="12545" max="12545" width="5.7109375" customWidth="1"/>
    <col min="12546" max="12546" width="30.7109375" customWidth="1"/>
    <col min="12547" max="12547" width="16" customWidth="1"/>
    <col min="12548" max="12548" width="16.5703125" customWidth="1"/>
    <col min="12549" max="12549" width="13.7109375" customWidth="1"/>
    <col min="12550" max="12550" width="9.85546875" customWidth="1"/>
    <col min="12551" max="12552" width="13.7109375" customWidth="1"/>
    <col min="12801" max="12801" width="5.7109375" customWidth="1"/>
    <col min="12802" max="12802" width="30.7109375" customWidth="1"/>
    <col min="12803" max="12803" width="16" customWidth="1"/>
    <col min="12804" max="12804" width="16.5703125" customWidth="1"/>
    <col min="12805" max="12805" width="13.7109375" customWidth="1"/>
    <col min="12806" max="12806" width="9.85546875" customWidth="1"/>
    <col min="12807" max="12808" width="13.7109375" customWidth="1"/>
    <col min="13057" max="13057" width="5.7109375" customWidth="1"/>
    <col min="13058" max="13058" width="30.7109375" customWidth="1"/>
    <col min="13059" max="13059" width="16" customWidth="1"/>
    <col min="13060" max="13060" width="16.5703125" customWidth="1"/>
    <col min="13061" max="13061" width="13.7109375" customWidth="1"/>
    <col min="13062" max="13062" width="9.85546875" customWidth="1"/>
    <col min="13063" max="13064" width="13.7109375" customWidth="1"/>
    <col min="13313" max="13313" width="5.7109375" customWidth="1"/>
    <col min="13314" max="13314" width="30.7109375" customWidth="1"/>
    <col min="13315" max="13315" width="16" customWidth="1"/>
    <col min="13316" max="13316" width="16.5703125" customWidth="1"/>
    <col min="13317" max="13317" width="13.7109375" customWidth="1"/>
    <col min="13318" max="13318" width="9.85546875" customWidth="1"/>
    <col min="13319" max="13320" width="13.7109375" customWidth="1"/>
    <col min="13569" max="13569" width="5.7109375" customWidth="1"/>
    <col min="13570" max="13570" width="30.7109375" customWidth="1"/>
    <col min="13571" max="13571" width="16" customWidth="1"/>
    <col min="13572" max="13572" width="16.5703125" customWidth="1"/>
    <col min="13573" max="13573" width="13.7109375" customWidth="1"/>
    <col min="13574" max="13574" width="9.85546875" customWidth="1"/>
    <col min="13575" max="13576" width="13.7109375" customWidth="1"/>
    <col min="13825" max="13825" width="5.7109375" customWidth="1"/>
    <col min="13826" max="13826" width="30.7109375" customWidth="1"/>
    <col min="13827" max="13827" width="16" customWidth="1"/>
    <col min="13828" max="13828" width="16.5703125" customWidth="1"/>
    <col min="13829" max="13829" width="13.7109375" customWidth="1"/>
    <col min="13830" max="13830" width="9.85546875" customWidth="1"/>
    <col min="13831" max="13832" width="13.7109375" customWidth="1"/>
    <col min="14081" max="14081" width="5.7109375" customWidth="1"/>
    <col min="14082" max="14082" width="30.7109375" customWidth="1"/>
    <col min="14083" max="14083" width="16" customWidth="1"/>
    <col min="14084" max="14084" width="16.5703125" customWidth="1"/>
    <col min="14085" max="14085" width="13.7109375" customWidth="1"/>
    <col min="14086" max="14086" width="9.85546875" customWidth="1"/>
    <col min="14087" max="14088" width="13.7109375" customWidth="1"/>
    <col min="14337" max="14337" width="5.7109375" customWidth="1"/>
    <col min="14338" max="14338" width="30.7109375" customWidth="1"/>
    <col min="14339" max="14339" width="16" customWidth="1"/>
    <col min="14340" max="14340" width="16.5703125" customWidth="1"/>
    <col min="14341" max="14341" width="13.7109375" customWidth="1"/>
    <col min="14342" max="14342" width="9.85546875" customWidth="1"/>
    <col min="14343" max="14344" width="13.7109375" customWidth="1"/>
    <col min="14593" max="14593" width="5.7109375" customWidth="1"/>
    <col min="14594" max="14594" width="30.7109375" customWidth="1"/>
    <col min="14595" max="14595" width="16" customWidth="1"/>
    <col min="14596" max="14596" width="16.5703125" customWidth="1"/>
    <col min="14597" max="14597" width="13.7109375" customWidth="1"/>
    <col min="14598" max="14598" width="9.85546875" customWidth="1"/>
    <col min="14599" max="14600" width="13.7109375" customWidth="1"/>
    <col min="14849" max="14849" width="5.7109375" customWidth="1"/>
    <col min="14850" max="14850" width="30.7109375" customWidth="1"/>
    <col min="14851" max="14851" width="16" customWidth="1"/>
    <col min="14852" max="14852" width="16.5703125" customWidth="1"/>
    <col min="14853" max="14853" width="13.7109375" customWidth="1"/>
    <col min="14854" max="14854" width="9.85546875" customWidth="1"/>
    <col min="14855" max="14856" width="13.7109375" customWidth="1"/>
    <col min="15105" max="15105" width="5.7109375" customWidth="1"/>
    <col min="15106" max="15106" width="30.7109375" customWidth="1"/>
    <col min="15107" max="15107" width="16" customWidth="1"/>
    <col min="15108" max="15108" width="16.5703125" customWidth="1"/>
    <col min="15109" max="15109" width="13.7109375" customWidth="1"/>
    <col min="15110" max="15110" width="9.85546875" customWidth="1"/>
    <col min="15111" max="15112" width="13.7109375" customWidth="1"/>
    <col min="15361" max="15361" width="5.7109375" customWidth="1"/>
    <col min="15362" max="15362" width="30.7109375" customWidth="1"/>
    <col min="15363" max="15363" width="16" customWidth="1"/>
    <col min="15364" max="15364" width="16.5703125" customWidth="1"/>
    <col min="15365" max="15365" width="13.7109375" customWidth="1"/>
    <col min="15366" max="15366" width="9.85546875" customWidth="1"/>
    <col min="15367" max="15368" width="13.7109375" customWidth="1"/>
    <col min="15617" max="15617" width="5.7109375" customWidth="1"/>
    <col min="15618" max="15618" width="30.7109375" customWidth="1"/>
    <col min="15619" max="15619" width="16" customWidth="1"/>
    <col min="15620" max="15620" width="16.5703125" customWidth="1"/>
    <col min="15621" max="15621" width="13.7109375" customWidth="1"/>
    <col min="15622" max="15622" width="9.85546875" customWidth="1"/>
    <col min="15623" max="15624" width="13.7109375" customWidth="1"/>
    <col min="15873" max="15873" width="5.7109375" customWidth="1"/>
    <col min="15874" max="15874" width="30.7109375" customWidth="1"/>
    <col min="15875" max="15875" width="16" customWidth="1"/>
    <col min="15876" max="15876" width="16.5703125" customWidth="1"/>
    <col min="15877" max="15877" width="13.7109375" customWidth="1"/>
    <col min="15878" max="15878" width="9.85546875" customWidth="1"/>
    <col min="15879" max="15880" width="13.7109375" customWidth="1"/>
    <col min="16129" max="16129" width="5.7109375" customWidth="1"/>
    <col min="16130" max="16130" width="30.7109375" customWidth="1"/>
    <col min="16131" max="16131" width="16" customWidth="1"/>
    <col min="16132" max="16132" width="16.5703125" customWidth="1"/>
    <col min="16133" max="16133" width="13.7109375" customWidth="1"/>
    <col min="16134" max="16134" width="9.85546875" customWidth="1"/>
    <col min="16135" max="16136" width="13.7109375" customWidth="1"/>
  </cols>
  <sheetData>
    <row r="1" spans="1:8" x14ac:dyDescent="0.25">
      <c r="A1" s="88" t="s">
        <v>200</v>
      </c>
      <c r="B1" s="88"/>
      <c r="C1" s="88"/>
      <c r="D1" s="88"/>
      <c r="E1" s="88"/>
      <c r="F1" s="88"/>
      <c r="G1" s="88"/>
      <c r="H1" s="88"/>
    </row>
    <row r="2" spans="1:8" x14ac:dyDescent="0.25">
      <c r="A2" s="89"/>
      <c r="B2" s="89"/>
      <c r="C2" s="89"/>
      <c r="D2" s="89"/>
      <c r="E2" s="89"/>
      <c r="F2" s="89"/>
      <c r="G2" s="89"/>
      <c r="H2" s="89"/>
    </row>
    <row r="3" spans="1:8" ht="45" x14ac:dyDescent="0.25">
      <c r="A3" s="90" t="s">
        <v>0</v>
      </c>
      <c r="B3" s="90" t="s">
        <v>201</v>
      </c>
      <c r="C3" s="90" t="s">
        <v>202</v>
      </c>
      <c r="D3" s="90" t="s">
        <v>203</v>
      </c>
      <c r="E3" s="91" t="s">
        <v>204</v>
      </c>
      <c r="F3" s="91" t="s">
        <v>205</v>
      </c>
      <c r="G3" s="91" t="s">
        <v>206</v>
      </c>
      <c r="H3" s="91" t="s">
        <v>207</v>
      </c>
    </row>
    <row r="4" spans="1:8" x14ac:dyDescent="0.25">
      <c r="A4" s="3">
        <v>1</v>
      </c>
      <c r="B4" s="5" t="s">
        <v>208</v>
      </c>
      <c r="C4" s="3">
        <v>10</v>
      </c>
      <c r="D4" s="5"/>
      <c r="E4" s="92">
        <v>622</v>
      </c>
      <c r="F4" s="93">
        <v>0.11</v>
      </c>
      <c r="G4" s="92">
        <f>(E4+(E4*F4))</f>
        <v>690.42</v>
      </c>
      <c r="H4" s="94">
        <f>G4*C4</f>
        <v>6904.2</v>
      </c>
    </row>
    <row r="5" spans="1:8" x14ac:dyDescent="0.25">
      <c r="A5" s="3">
        <v>2</v>
      </c>
      <c r="B5" s="5" t="s">
        <v>209</v>
      </c>
      <c r="C5" s="3">
        <v>10</v>
      </c>
      <c r="D5" s="5"/>
      <c r="E5" s="92">
        <v>208</v>
      </c>
      <c r="F5" s="93">
        <v>0.11</v>
      </c>
      <c r="G5" s="92">
        <f t="shared" ref="G5:G19" si="0">(E5+(E5*F5))</f>
        <v>230.88</v>
      </c>
      <c r="H5" s="94">
        <f t="shared" ref="H5:H19" si="1">G5*C5</f>
        <v>2308.8000000000002</v>
      </c>
    </row>
    <row r="6" spans="1:8" x14ac:dyDescent="0.25">
      <c r="A6" s="3">
        <v>3</v>
      </c>
      <c r="B6" s="5" t="s">
        <v>210</v>
      </c>
      <c r="C6" s="3">
        <v>2</v>
      </c>
      <c r="D6" s="5"/>
      <c r="E6" s="92">
        <v>2390</v>
      </c>
      <c r="F6" s="93">
        <v>0.11</v>
      </c>
      <c r="G6" s="92">
        <f t="shared" si="0"/>
        <v>2652.9</v>
      </c>
      <c r="H6" s="94">
        <f t="shared" si="1"/>
        <v>5305.8</v>
      </c>
    </row>
    <row r="7" spans="1:8" x14ac:dyDescent="0.25">
      <c r="A7" s="3">
        <v>4</v>
      </c>
      <c r="B7" s="5" t="s">
        <v>211</v>
      </c>
      <c r="C7" s="3">
        <v>1</v>
      </c>
      <c r="D7" s="5"/>
      <c r="E7" s="92">
        <v>104000</v>
      </c>
      <c r="F7" s="93">
        <v>0.11</v>
      </c>
      <c r="G7" s="92">
        <f t="shared" si="0"/>
        <v>115440</v>
      </c>
      <c r="H7" s="94">
        <f t="shared" si="1"/>
        <v>115440</v>
      </c>
    </row>
    <row r="8" spans="1:8" x14ac:dyDescent="0.25">
      <c r="A8" s="3">
        <v>5</v>
      </c>
      <c r="B8" s="5" t="s">
        <v>212</v>
      </c>
      <c r="C8" s="3">
        <v>3</v>
      </c>
      <c r="D8" s="5"/>
      <c r="E8" s="92">
        <v>5818</v>
      </c>
      <c r="F8" s="93">
        <v>0.11</v>
      </c>
      <c r="G8" s="92">
        <f t="shared" si="0"/>
        <v>6457.98</v>
      </c>
      <c r="H8" s="94">
        <f t="shared" si="1"/>
        <v>19373.939999999999</v>
      </c>
    </row>
    <row r="9" spans="1:8" x14ac:dyDescent="0.25">
      <c r="A9" s="3">
        <v>6</v>
      </c>
      <c r="B9" s="5" t="s">
        <v>213</v>
      </c>
      <c r="C9" s="3">
        <v>2</v>
      </c>
      <c r="D9" s="5"/>
      <c r="E9" s="92">
        <v>1704</v>
      </c>
      <c r="F9" s="93">
        <v>0.11</v>
      </c>
      <c r="G9" s="92">
        <f t="shared" si="0"/>
        <v>1891.44</v>
      </c>
      <c r="H9" s="94">
        <f t="shared" si="1"/>
        <v>3782.88</v>
      </c>
    </row>
    <row r="10" spans="1:8" x14ac:dyDescent="0.25">
      <c r="A10" s="3">
        <v>7</v>
      </c>
      <c r="B10" s="5" t="s">
        <v>214</v>
      </c>
      <c r="C10" s="3">
        <v>1</v>
      </c>
      <c r="D10" s="5"/>
      <c r="E10" s="92">
        <v>11111</v>
      </c>
      <c r="F10" s="93">
        <v>0.11</v>
      </c>
      <c r="G10" s="92">
        <f t="shared" si="0"/>
        <v>12333.21</v>
      </c>
      <c r="H10" s="94">
        <f t="shared" si="1"/>
        <v>12333.21</v>
      </c>
    </row>
    <row r="11" spans="1:8" x14ac:dyDescent="0.25">
      <c r="A11" s="3">
        <v>8</v>
      </c>
      <c r="B11" s="5" t="s">
        <v>215</v>
      </c>
      <c r="C11" s="3">
        <v>1</v>
      </c>
      <c r="D11" s="5"/>
      <c r="E11" s="92">
        <v>7637.5</v>
      </c>
      <c r="F11" s="93">
        <v>0.11</v>
      </c>
      <c r="G11" s="92">
        <f t="shared" si="0"/>
        <v>8477.625</v>
      </c>
      <c r="H11" s="94">
        <f t="shared" si="1"/>
        <v>8477.625</v>
      </c>
    </row>
    <row r="12" spans="1:8" x14ac:dyDescent="0.25">
      <c r="A12" s="3">
        <v>9</v>
      </c>
      <c r="B12" s="5" t="s">
        <v>216</v>
      </c>
      <c r="C12" s="3">
        <v>1</v>
      </c>
      <c r="D12" s="5"/>
      <c r="E12" s="92">
        <v>703</v>
      </c>
      <c r="F12" s="93">
        <v>0.11</v>
      </c>
      <c r="G12" s="92">
        <f t="shared" si="0"/>
        <v>780.33</v>
      </c>
      <c r="H12" s="94">
        <f t="shared" si="1"/>
        <v>780.33</v>
      </c>
    </row>
    <row r="13" spans="1:8" x14ac:dyDescent="0.25">
      <c r="A13" s="3">
        <v>10</v>
      </c>
      <c r="B13" s="5" t="s">
        <v>217</v>
      </c>
      <c r="C13" s="3">
        <v>3</v>
      </c>
      <c r="D13" s="5"/>
      <c r="E13" s="92">
        <v>741.7</v>
      </c>
      <c r="F13" s="93">
        <v>0.11</v>
      </c>
      <c r="G13" s="92">
        <f t="shared" si="0"/>
        <v>823.28700000000003</v>
      </c>
      <c r="H13" s="94">
        <f t="shared" si="1"/>
        <v>2469.8609999999999</v>
      </c>
    </row>
    <row r="14" spans="1:8" x14ac:dyDescent="0.25">
      <c r="A14" s="3">
        <v>11</v>
      </c>
      <c r="B14" s="5" t="s">
        <v>218</v>
      </c>
      <c r="C14" s="3">
        <v>1</v>
      </c>
      <c r="D14" s="5"/>
      <c r="E14" s="92">
        <v>3246.1</v>
      </c>
      <c r="F14" s="93">
        <v>0.11</v>
      </c>
      <c r="G14" s="92">
        <f t="shared" si="0"/>
        <v>3603.1709999999998</v>
      </c>
      <c r="H14" s="94">
        <f t="shared" si="1"/>
        <v>3603.1709999999998</v>
      </c>
    </row>
    <row r="15" spans="1:8" x14ac:dyDescent="0.25">
      <c r="A15" s="3">
        <v>12</v>
      </c>
      <c r="B15" s="5" t="s">
        <v>219</v>
      </c>
      <c r="C15" s="3">
        <v>3</v>
      </c>
      <c r="D15" s="5"/>
      <c r="E15" s="92">
        <v>3603.81</v>
      </c>
      <c r="F15" s="93">
        <v>0.11</v>
      </c>
      <c r="G15" s="92">
        <f t="shared" si="0"/>
        <v>4000.2291</v>
      </c>
      <c r="H15" s="94">
        <f t="shared" si="1"/>
        <v>12000.6873</v>
      </c>
    </row>
    <row r="16" spans="1:8" x14ac:dyDescent="0.25">
      <c r="A16" s="3">
        <v>13</v>
      </c>
      <c r="B16" s="5" t="s">
        <v>220</v>
      </c>
      <c r="C16" s="3">
        <v>1</v>
      </c>
      <c r="D16" s="5"/>
      <c r="E16" s="92">
        <v>6566</v>
      </c>
      <c r="F16" s="93">
        <v>0.11</v>
      </c>
      <c r="G16" s="92">
        <f t="shared" si="0"/>
        <v>7288.26</v>
      </c>
      <c r="H16" s="94">
        <f t="shared" si="1"/>
        <v>7288.26</v>
      </c>
    </row>
    <row r="17" spans="1:8" x14ac:dyDescent="0.25">
      <c r="A17" s="3">
        <v>14</v>
      </c>
      <c r="B17" s="5" t="s">
        <v>221</v>
      </c>
      <c r="C17" s="3">
        <v>1</v>
      </c>
      <c r="D17" s="5"/>
      <c r="E17" s="92">
        <v>2860</v>
      </c>
      <c r="F17" s="93">
        <v>0.11</v>
      </c>
      <c r="G17" s="92">
        <f t="shared" si="0"/>
        <v>3174.6</v>
      </c>
      <c r="H17" s="94">
        <f t="shared" si="1"/>
        <v>3174.6</v>
      </c>
    </row>
    <row r="18" spans="1:8" x14ac:dyDescent="0.25">
      <c r="A18" s="3">
        <v>15</v>
      </c>
      <c r="B18" s="5" t="s">
        <v>222</v>
      </c>
      <c r="C18" s="3">
        <v>1</v>
      </c>
      <c r="D18" s="5" t="s">
        <v>223</v>
      </c>
      <c r="E18" s="92">
        <v>4286</v>
      </c>
      <c r="F18" s="93">
        <v>0.11</v>
      </c>
      <c r="G18" s="92">
        <f t="shared" si="0"/>
        <v>4757.46</v>
      </c>
      <c r="H18" s="94">
        <f t="shared" si="1"/>
        <v>4757.46</v>
      </c>
    </row>
    <row r="19" spans="1:8" x14ac:dyDescent="0.25">
      <c r="A19" s="3">
        <v>16</v>
      </c>
      <c r="B19" s="5" t="s">
        <v>224</v>
      </c>
      <c r="C19" s="3">
        <v>1</v>
      </c>
      <c r="D19" s="5" t="s">
        <v>223</v>
      </c>
      <c r="E19" s="92">
        <v>5051</v>
      </c>
      <c r="F19" s="93">
        <v>0.11</v>
      </c>
      <c r="G19" s="92">
        <f t="shared" si="0"/>
        <v>5606.61</v>
      </c>
      <c r="H19" s="94">
        <f t="shared" si="1"/>
        <v>5606.61</v>
      </c>
    </row>
    <row r="20" spans="1:8" x14ac:dyDescent="0.25">
      <c r="A20" s="8"/>
      <c r="B20" s="7"/>
      <c r="C20" s="8"/>
      <c r="D20" s="7"/>
      <c r="E20" s="95"/>
      <c r="F20" s="96"/>
      <c r="G20" s="97" t="s">
        <v>225</v>
      </c>
      <c r="H20" s="95">
        <f>SUM(H4:H19)</f>
        <v>213607.43429999996</v>
      </c>
    </row>
    <row r="21" spans="1:8" x14ac:dyDescent="0.25">
      <c r="A21" s="8"/>
      <c r="B21" s="7"/>
      <c r="C21" s="8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BMHP</vt:lpstr>
      <vt:lpstr>BMHP SC BIASA</vt:lpstr>
      <vt:lpstr>BMHP SC ERACS</vt:lpstr>
      <vt:lpstr>PARTUS</vt:lpstr>
      <vt:lpstr>BMHP!Print_Area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 RATNA</dc:creator>
  <cp:lastModifiedBy>ADMIN</cp:lastModifiedBy>
  <cp:lastPrinted>2025-01-04T04:12:37Z</cp:lastPrinted>
  <dcterms:created xsi:type="dcterms:W3CDTF">2023-12-13T06:13:24Z</dcterms:created>
  <dcterms:modified xsi:type="dcterms:W3CDTF">2025-10-03T09:28:08Z</dcterms:modified>
</cp:coreProperties>
</file>