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0DBF3C9-92CD-4AC3-8DA8-6E56A292EC71}" xr6:coauthVersionLast="47" xr6:coauthVersionMax="47" xr10:uidLastSave="{00000000-0000-0000-0000-000000000000}"/>
  <bookViews>
    <workbookView xWindow="-120" yWindow="-120" windowWidth="20730" windowHeight="11160" xr2:uid="{C8AC390B-DE9E-4397-B1AD-E221CFB4F9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J4" i="1"/>
  <c r="K4" i="1"/>
  <c r="J5" i="1"/>
  <c r="K5" i="1" s="1"/>
  <c r="J6" i="1"/>
  <c r="K6" i="1" s="1"/>
  <c r="J7" i="1"/>
  <c r="K7" i="1" s="1"/>
  <c r="J8" i="1"/>
  <c r="K8" i="1" s="1"/>
  <c r="J9" i="1"/>
  <c r="K9" i="1"/>
  <c r="J10" i="1"/>
  <c r="K10" i="1" s="1"/>
  <c r="J11" i="1"/>
  <c r="K11" i="1" s="1"/>
  <c r="J3" i="1"/>
  <c r="K3" i="1" s="1"/>
</calcChain>
</file>

<file path=xl/sharedStrings.xml><?xml version="1.0" encoding="utf-8"?>
<sst xmlns="http://schemas.openxmlformats.org/spreadsheetml/2006/main" count="49" uniqueCount="35">
  <si>
    <t>NO</t>
  </si>
  <si>
    <t>JUMLAH PERMINTAAN</t>
  </si>
  <si>
    <t>SATUAN</t>
  </si>
  <si>
    <t>HANSAPLAST JUMBO - BEIERSDORF</t>
  </si>
  <si>
    <t>PCS</t>
  </si>
  <si>
    <t>PARACETAMOL TAB 500 MG - MERSI</t>
  </si>
  <si>
    <t>TAB</t>
  </si>
  <si>
    <t>HANSAPLAST</t>
  </si>
  <si>
    <t>BOX</t>
  </si>
  <si>
    <t>PARACETAMOL TAB</t>
  </si>
  <si>
    <t>LEMBAR</t>
  </si>
  <si>
    <t xml:space="preserve">TETES MATA </t>
  </si>
  <si>
    <t>BOTOL</t>
  </si>
  <si>
    <t xml:space="preserve">ANTASIDA/ OMEPRAZOLE </t>
  </si>
  <si>
    <t>CAIRAN INFUS (UNTUK LUKA)</t>
  </si>
  <si>
    <t>MINYAK KAYU PUTIH KECIL</t>
  </si>
  <si>
    <t>ASAM MEFENAMAT</t>
  </si>
  <si>
    <t>DEMACOLIN/ TERRA-F</t>
  </si>
  <si>
    <t xml:space="preserve">NAMA OBAT PERMINTAAN </t>
  </si>
  <si>
    <t>OBAT DIARE</t>
  </si>
  <si>
    <t>NAMA OBAT YANG TERSEDIA</t>
  </si>
  <si>
    <t>JUMLAH</t>
  </si>
  <si>
    <t>HNA</t>
  </si>
  <si>
    <t>DISC</t>
  </si>
  <si>
    <t>HPP</t>
  </si>
  <si>
    <t>FLS</t>
  </si>
  <si>
    <t>TOTAL</t>
  </si>
  <si>
    <t>SANBE TEARS TM - SANBE</t>
  </si>
  <si>
    <t>DEXANTA TAB - DEXA MEDICA</t>
  </si>
  <si>
    <t>ASAM MEFENAMAT TAB 500 MG - HEXPHARM JAYA</t>
  </si>
  <si>
    <t>CAIRAN INF NS 0.9% 500 ML - SATPROA</t>
  </si>
  <si>
    <t>-</t>
  </si>
  <si>
    <t>NOVACOLIN TAB 500 MG - NOVAPHARIN</t>
  </si>
  <si>
    <t>PULAREX TAB - ZENITH</t>
  </si>
  <si>
    <t>DAFTAR PERMINTAAN OBAT ARTHAWENA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</si>
</sst>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42" fontId="0" fillId="0" borderId="0" xfId="0" applyNumberFormat="1"/>
    <xf numFmtId="9" fontId="0" fillId="0" borderId="0" xfId="1" applyFont="1"/>
    <xf numFmtId="0" fontId="0" fillId="0" borderId="1" xfId="0" applyBorder="1"/>
    <xf numFmtId="42" fontId="0" fillId="0" borderId="1" xfId="0" applyNumberFormat="1" applyBorder="1"/>
    <xf numFmtId="9" fontId="0" fillId="0" borderId="1" xfId="1" applyFont="1" applyBorder="1"/>
    <xf numFmtId="0" fontId="0" fillId="0" borderId="1" xfId="0" applyBorder="1" applyAlignment="1">
      <alignment horizontal="center"/>
    </xf>
    <xf numFmtId="42" fontId="2" fillId="0" borderId="2" xfId="0" applyNumberFormat="1" applyFont="1" applyBorder="1" applyAlignment="1">
      <alignment horizontal="right"/>
    </xf>
    <xf numFmtId="42" fontId="2" fillId="0" borderId="3" xfId="0" applyNumberFormat="1" applyFont="1" applyBorder="1" applyAlignment="1">
      <alignment horizontal="right"/>
    </xf>
    <xf numFmtId="42" fontId="2" fillId="0" borderId="4" xfId="0" applyNumberFormat="1" applyFont="1" applyBorder="1" applyAlignment="1">
      <alignment horizontal="right"/>
    </xf>
    <xf numFmtId="42" fontId="2" fillId="0" borderId="1" xfId="0" applyNumberFormat="1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42" fontId="2" fillId="0" borderId="1" xfId="0" applyNumberFormat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9BD6-5CF1-42B6-B9A0-2F4880ADA51D}">
  <dimension ref="A1:K12"/>
  <sheetViews>
    <sheetView tabSelected="1" workbookViewId="0">
      <selection sqref="A1:K1"/>
    </sheetView>
  </sheetViews>
  <sheetFormatPr defaultRowHeight="15" x14ac:dyDescent="0.25"/>
  <cols>
    <col min="2" max="2" width="32.28515625" bestFit="1" customWidth="1"/>
    <col min="3" max="3" width="20.85546875" bestFit="1" customWidth="1"/>
    <col min="5" max="5" width="46.42578125" bestFit="1" customWidth="1"/>
    <col min="8" max="8" width="10.28515625" style="1" bestFit="1" customWidth="1"/>
    <col min="9" max="9" width="9.140625" style="2"/>
    <col min="10" max="10" width="10.28515625" style="1" bestFit="1" customWidth="1"/>
    <col min="11" max="11" width="11.28515625" bestFit="1" customWidth="1"/>
  </cols>
  <sheetData>
    <row r="1" spans="1:11" x14ac:dyDescent="0.25">
      <c r="A1" s="16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15" customFormat="1" x14ac:dyDescent="0.25">
      <c r="A2" s="12" t="s">
        <v>0</v>
      </c>
      <c r="B2" s="12" t="s">
        <v>18</v>
      </c>
      <c r="C2" s="12" t="s">
        <v>1</v>
      </c>
      <c r="D2" s="12" t="s">
        <v>2</v>
      </c>
      <c r="E2" s="12" t="s">
        <v>20</v>
      </c>
      <c r="F2" s="12" t="s">
        <v>21</v>
      </c>
      <c r="G2" s="12" t="s">
        <v>2</v>
      </c>
      <c r="H2" s="13" t="s">
        <v>22</v>
      </c>
      <c r="I2" s="14" t="s">
        <v>23</v>
      </c>
      <c r="J2" s="13" t="s">
        <v>24</v>
      </c>
      <c r="K2" s="12" t="s">
        <v>26</v>
      </c>
    </row>
    <row r="3" spans="1:11" x14ac:dyDescent="0.25">
      <c r="A3" s="6">
        <v>1</v>
      </c>
      <c r="B3" s="3" t="s">
        <v>7</v>
      </c>
      <c r="C3" s="6">
        <v>5</v>
      </c>
      <c r="D3" s="6" t="s">
        <v>8</v>
      </c>
      <c r="E3" s="3" t="s">
        <v>3</v>
      </c>
      <c r="F3" s="6">
        <v>250</v>
      </c>
      <c r="G3" s="6" t="s">
        <v>4</v>
      </c>
      <c r="H3" s="4">
        <v>559.98</v>
      </c>
      <c r="I3" s="5">
        <v>0.06</v>
      </c>
      <c r="J3" s="4">
        <f>(H3-(H3*I3))*1.11</f>
        <v>584.28313200000014</v>
      </c>
      <c r="K3" s="4">
        <f>J3*F3</f>
        <v>146070.78300000002</v>
      </c>
    </row>
    <row r="4" spans="1:11" x14ac:dyDescent="0.25">
      <c r="A4" s="6">
        <v>2</v>
      </c>
      <c r="B4" s="3" t="s">
        <v>9</v>
      </c>
      <c r="C4" s="6">
        <v>5</v>
      </c>
      <c r="D4" s="6" t="s">
        <v>10</v>
      </c>
      <c r="E4" s="3" t="s">
        <v>5</v>
      </c>
      <c r="F4" s="6">
        <v>50</v>
      </c>
      <c r="G4" s="6" t="s">
        <v>6</v>
      </c>
      <c r="H4" s="4">
        <v>152</v>
      </c>
      <c r="I4" s="5">
        <v>0.25</v>
      </c>
      <c r="J4" s="4">
        <f t="shared" ref="J4:J11" si="0">(H4-(H4*I4))*1.11</f>
        <v>126.54</v>
      </c>
      <c r="K4" s="4">
        <f t="shared" ref="K4:K11" si="1">J4*F4</f>
        <v>6327</v>
      </c>
    </row>
    <row r="5" spans="1:11" x14ac:dyDescent="0.25">
      <c r="A5" s="6">
        <v>3</v>
      </c>
      <c r="B5" s="3" t="s">
        <v>11</v>
      </c>
      <c r="C5" s="6">
        <v>2</v>
      </c>
      <c r="D5" s="6" t="s">
        <v>12</v>
      </c>
      <c r="E5" s="3" t="s">
        <v>27</v>
      </c>
      <c r="F5" s="6">
        <v>2</v>
      </c>
      <c r="G5" s="6" t="s">
        <v>25</v>
      </c>
      <c r="H5" s="4">
        <v>26200</v>
      </c>
      <c r="I5" s="5">
        <v>0.15</v>
      </c>
      <c r="J5" s="4">
        <f t="shared" si="0"/>
        <v>24719.7</v>
      </c>
      <c r="K5" s="4">
        <f t="shared" si="1"/>
        <v>49439.4</v>
      </c>
    </row>
    <row r="6" spans="1:11" x14ac:dyDescent="0.25">
      <c r="A6" s="6">
        <v>4</v>
      </c>
      <c r="B6" s="3" t="s">
        <v>13</v>
      </c>
      <c r="C6" s="6">
        <v>5</v>
      </c>
      <c r="D6" s="6" t="s">
        <v>10</v>
      </c>
      <c r="E6" s="3" t="s">
        <v>28</v>
      </c>
      <c r="F6" s="6">
        <v>50</v>
      </c>
      <c r="G6" s="6" t="s">
        <v>6</v>
      </c>
      <c r="H6" s="4">
        <v>205</v>
      </c>
      <c r="I6" s="5">
        <v>2.5000000000000001E-2</v>
      </c>
      <c r="J6" s="4">
        <f t="shared" si="0"/>
        <v>221.86125000000001</v>
      </c>
      <c r="K6" s="4">
        <f t="shared" si="1"/>
        <v>11093.0625</v>
      </c>
    </row>
    <row r="7" spans="1:11" x14ac:dyDescent="0.25">
      <c r="A7" s="6">
        <v>5</v>
      </c>
      <c r="B7" s="3" t="s">
        <v>16</v>
      </c>
      <c r="C7" s="6">
        <v>5</v>
      </c>
      <c r="D7" s="6" t="s">
        <v>10</v>
      </c>
      <c r="E7" s="3" t="s">
        <v>29</v>
      </c>
      <c r="F7" s="6">
        <v>50</v>
      </c>
      <c r="G7" s="6" t="s">
        <v>6</v>
      </c>
      <c r="H7" s="4">
        <v>290</v>
      </c>
      <c r="I7" s="5">
        <v>0.503</v>
      </c>
      <c r="J7" s="4">
        <f t="shared" si="0"/>
        <v>159.98430000000002</v>
      </c>
      <c r="K7" s="4">
        <f t="shared" si="1"/>
        <v>7999.2150000000011</v>
      </c>
    </row>
    <row r="8" spans="1:11" x14ac:dyDescent="0.25">
      <c r="A8" s="6">
        <v>6</v>
      </c>
      <c r="B8" s="3" t="s">
        <v>14</v>
      </c>
      <c r="C8" s="6">
        <v>1</v>
      </c>
      <c r="D8" s="6" t="s">
        <v>12</v>
      </c>
      <c r="E8" s="3" t="s">
        <v>30</v>
      </c>
      <c r="F8" s="6">
        <v>1</v>
      </c>
      <c r="G8" s="6" t="s">
        <v>25</v>
      </c>
      <c r="H8" s="4">
        <v>7259</v>
      </c>
      <c r="I8" s="5">
        <v>0.21</v>
      </c>
      <c r="J8" s="4">
        <f t="shared" si="0"/>
        <v>6365.4171000000015</v>
      </c>
      <c r="K8" s="4">
        <f t="shared" si="1"/>
        <v>6365.4171000000015</v>
      </c>
    </row>
    <row r="9" spans="1:11" x14ac:dyDescent="0.25">
      <c r="A9" s="6">
        <v>7</v>
      </c>
      <c r="B9" s="3" t="s">
        <v>15</v>
      </c>
      <c r="C9" s="6">
        <v>3</v>
      </c>
      <c r="D9" s="6" t="s">
        <v>12</v>
      </c>
      <c r="E9" s="3" t="s">
        <v>31</v>
      </c>
      <c r="F9" s="6">
        <v>3</v>
      </c>
      <c r="G9" s="6" t="s">
        <v>25</v>
      </c>
      <c r="H9" s="4"/>
      <c r="I9" s="5"/>
      <c r="J9" s="4">
        <f t="shared" si="0"/>
        <v>0</v>
      </c>
      <c r="K9" s="4">
        <f t="shared" si="1"/>
        <v>0</v>
      </c>
    </row>
    <row r="10" spans="1:11" x14ac:dyDescent="0.25">
      <c r="A10" s="6">
        <v>8</v>
      </c>
      <c r="B10" s="3" t="s">
        <v>17</v>
      </c>
      <c r="C10" s="6">
        <v>5</v>
      </c>
      <c r="D10" s="6" t="s">
        <v>10</v>
      </c>
      <c r="E10" s="3" t="s">
        <v>32</v>
      </c>
      <c r="F10" s="6">
        <v>50</v>
      </c>
      <c r="G10" s="6" t="s">
        <v>6</v>
      </c>
      <c r="H10" s="4">
        <v>391.89</v>
      </c>
      <c r="I10" s="5">
        <v>0.2</v>
      </c>
      <c r="J10" s="4">
        <f t="shared" si="0"/>
        <v>347.99832000000004</v>
      </c>
      <c r="K10" s="4">
        <f t="shared" si="1"/>
        <v>17399.916000000001</v>
      </c>
    </row>
    <row r="11" spans="1:11" x14ac:dyDescent="0.25">
      <c r="A11" s="6">
        <v>9</v>
      </c>
      <c r="B11" s="3" t="s">
        <v>19</v>
      </c>
      <c r="C11" s="6">
        <v>5</v>
      </c>
      <c r="D11" s="6" t="s">
        <v>10</v>
      </c>
      <c r="E11" s="3" t="s">
        <v>33</v>
      </c>
      <c r="F11" s="6">
        <v>50</v>
      </c>
      <c r="G11" s="6" t="s">
        <v>6</v>
      </c>
      <c r="H11" s="4">
        <v>228.56</v>
      </c>
      <c r="I11" s="5">
        <v>2.5000000000000001E-2</v>
      </c>
      <c r="J11" s="4">
        <f t="shared" si="0"/>
        <v>247.35906000000003</v>
      </c>
      <c r="K11" s="4">
        <f t="shared" si="1"/>
        <v>12367.953000000001</v>
      </c>
    </row>
    <row r="12" spans="1:11" s="11" customFormat="1" x14ac:dyDescent="0.25">
      <c r="A12" s="7" t="s">
        <v>26</v>
      </c>
      <c r="B12" s="8"/>
      <c r="C12" s="8"/>
      <c r="D12" s="8"/>
      <c r="E12" s="8"/>
      <c r="F12" s="8"/>
      <c r="G12" s="8"/>
      <c r="H12" s="8"/>
      <c r="I12" s="8"/>
      <c r="J12" s="9"/>
      <c r="K12" s="10">
        <f>SUM(K3:K11)</f>
        <v>257062.74660000001</v>
      </c>
    </row>
  </sheetData>
  <mergeCells count="2">
    <mergeCell ref="A12:J12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2026-07-06T05:51:08Z</dcterms:created>
  <dcterms:modified xsi:type="dcterms:W3CDTF">2026-07-06T07:45:39Z</dcterms:modified>
</cp:coreProperties>
</file>