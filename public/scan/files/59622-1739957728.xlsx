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4. DISPOSISI\SURAT MASUK\2025\02. INTERNAL\"/>
    </mc:Choice>
  </mc:AlternateContent>
  <xr:revisionPtr revIDLastSave="0" documentId="8_{1F9A54EE-0DC5-4747-AA46-214E69A99128}" xr6:coauthVersionLast="47" xr6:coauthVersionMax="47" xr10:uidLastSave="{00000000-0000-0000-0000-000000000000}"/>
  <bookViews>
    <workbookView xWindow="-120" yWindow="-120" windowWidth="20730" windowHeight="11160" activeTab="1" xr2:uid="{F0EE0E21-E230-478C-BF25-253EA641E388}"/>
  </bookViews>
  <sheets>
    <sheet name="humas" sheetId="1" r:id="rId1"/>
    <sheet name="bmhp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2" i="2" l="1"/>
  <c r="H71" i="2"/>
  <c r="H70" i="2"/>
  <c r="H69" i="2"/>
  <c r="G68" i="2"/>
  <c r="G67" i="2"/>
  <c r="G66" i="2"/>
  <c r="G64" i="2"/>
  <c r="H64" i="2" s="1"/>
  <c r="G47" i="2" l="1"/>
  <c r="G55" i="2"/>
  <c r="G54" i="2"/>
  <c r="G53" i="2"/>
  <c r="G52" i="2"/>
  <c r="G51" i="2"/>
  <c r="G50" i="2"/>
  <c r="G48" i="2"/>
  <c r="G46" i="2"/>
  <c r="G45" i="2"/>
  <c r="G44" i="2"/>
  <c r="G43" i="2"/>
  <c r="G42" i="2"/>
  <c r="G41" i="2"/>
  <c r="G40" i="2"/>
  <c r="G38" i="2"/>
  <c r="G37" i="2"/>
  <c r="G36" i="2"/>
  <c r="G35" i="2"/>
  <c r="G34" i="2"/>
  <c r="G32" i="2" l="1"/>
  <c r="G59" i="2"/>
  <c r="G60" i="2"/>
  <c r="G61" i="2"/>
  <c r="G58" i="2"/>
  <c r="G18" i="2"/>
  <c r="G19" i="2"/>
  <c r="G20" i="2"/>
  <c r="G17" i="2"/>
  <c r="H62" i="2" l="1"/>
  <c r="D8" i="1"/>
  <c r="C8" i="1"/>
  <c r="G33" i="2"/>
  <c r="H57" i="2" s="1"/>
  <c r="H63" i="2" s="1"/>
  <c r="F30" i="2"/>
  <c r="H3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COUNSELOR</author>
  </authors>
  <commentList>
    <comment ref="D44" authorId="0" shapeId="0" xr:uid="{1839D4B8-5EFC-43BE-840A-6EF760B017B8}">
      <text>
        <r>
          <rPr>
            <b/>
            <sz val="9"/>
            <color indexed="81"/>
            <rFont val="Tahoma"/>
            <charset val="1"/>
          </rPr>
          <t>COUNSELOR:</t>
        </r>
        <r>
          <rPr>
            <sz val="9"/>
            <color indexed="81"/>
            <rFont val="Tahoma"/>
            <charset val="1"/>
          </rPr>
          <t xml:space="preserve">
BMHP yang diperlukan apabila d rujuk ke RSSA</t>
        </r>
      </text>
    </comment>
    <comment ref="D45" authorId="0" shapeId="0" xr:uid="{9947B49F-DE48-4B44-9666-FC8F9AA8F0D2}">
      <text>
        <r>
          <rPr>
            <b/>
            <sz val="9"/>
            <color indexed="81"/>
            <rFont val="Tahoma"/>
            <charset val="1"/>
          </rPr>
          <t>COUNSELOR:</t>
        </r>
        <r>
          <rPr>
            <sz val="9"/>
            <color indexed="81"/>
            <rFont val="Tahoma"/>
            <charset val="1"/>
          </rPr>
          <t xml:space="preserve">
BMHP yang diperlukan apabila d rujuk ke RSSA</t>
        </r>
      </text>
    </comment>
  </commentList>
</comments>
</file>

<file path=xl/sharedStrings.xml><?xml version="1.0" encoding="utf-8"?>
<sst xmlns="http://schemas.openxmlformats.org/spreadsheetml/2006/main" count="108" uniqueCount="97">
  <si>
    <t>NO</t>
  </si>
  <si>
    <t>NAMA PEMERIKSAAN</t>
  </si>
  <si>
    <r>
      <t>Form Perhitungan Tarif MCU (</t>
    </r>
    <r>
      <rPr>
        <b/>
        <i/>
        <sz val="11"/>
        <color theme="1"/>
        <rFont val="Arial"/>
        <family val="2"/>
      </rPr>
      <t>Medical Check Up</t>
    </r>
    <r>
      <rPr>
        <b/>
        <sz val="11"/>
        <color theme="1"/>
        <rFont val="Arial"/>
        <family val="2"/>
      </rPr>
      <t>)</t>
    </r>
  </si>
  <si>
    <t>A</t>
  </si>
  <si>
    <t>Nama Perusahaan</t>
  </si>
  <si>
    <t>B</t>
  </si>
  <si>
    <t>Periode</t>
  </si>
  <si>
    <t>C</t>
  </si>
  <si>
    <t xml:space="preserve">Tempat dan Alamat </t>
  </si>
  <si>
    <t>D</t>
  </si>
  <si>
    <t>Jadwal Pelaksanaan</t>
  </si>
  <si>
    <t>E</t>
  </si>
  <si>
    <t>Tanggal dan Jam</t>
  </si>
  <si>
    <t>F</t>
  </si>
  <si>
    <t>Transportasi ke Lokasi</t>
  </si>
  <si>
    <t>G</t>
  </si>
  <si>
    <t>Tarif</t>
  </si>
  <si>
    <t>H</t>
  </si>
  <si>
    <t>Jumlah Peserta</t>
  </si>
  <si>
    <t>I</t>
  </si>
  <si>
    <t>Cara Pembayaran</t>
  </si>
  <si>
    <t>: Tagihan jatuh tempo 14 hari dari pengiriman tagihan</t>
  </si>
  <si>
    <t>J</t>
  </si>
  <si>
    <t>No. Surat Kesepakatan</t>
  </si>
  <si>
    <t>: 0000000000000</t>
  </si>
  <si>
    <t>Dengan perhitungan sebagai berikut :</t>
  </si>
  <si>
    <t>JENIS PEMERIKSAAN</t>
  </si>
  <si>
    <t>PEMERIKSAAN</t>
  </si>
  <si>
    <t>BMHP YANG DIGUNAKAN</t>
  </si>
  <si>
    <t>JUMLAH PESERTA</t>
  </si>
  <si>
    <t>HARGA SATUAN</t>
  </si>
  <si>
    <t>TOTAL</t>
  </si>
  <si>
    <t>PERHITUNGAN</t>
  </si>
  <si>
    <t>PENDAPATAN</t>
  </si>
  <si>
    <t>TARIF TINDAKAN</t>
  </si>
  <si>
    <t>TOTAL PENDAPATAN</t>
  </si>
  <si>
    <t>LABORATORIUM</t>
  </si>
  <si>
    <t>TOTAL BMHP PEMERIKSAAN FOTO THORAX</t>
  </si>
  <si>
    <t>TARIF SIMRS</t>
  </si>
  <si>
    <t>Harga khusus</t>
  </si>
  <si>
    <t>Tempat pelaksanaan</t>
  </si>
  <si>
    <t>K</t>
  </si>
  <si>
    <t>Pemeriksaan Fisik Dokter Umum</t>
  </si>
  <si>
    <t>Darah Lengkap</t>
  </si>
  <si>
    <t>Urin Lengkap</t>
  </si>
  <si>
    <t>Rontgen Thorax PA</t>
  </si>
  <si>
    <t>: Februari 2025</t>
  </si>
  <si>
    <t>Thorax</t>
  </si>
  <si>
    <t>RADIOLOGI</t>
  </si>
  <si>
    <t>FILM RADIOLOGI 21X30 CM</t>
  </si>
  <si>
    <t>Kertas Bacaan</t>
  </si>
  <si>
    <t>SEWA ALAT Mobile X-ray</t>
  </si>
  <si>
    <t>FEE BACAAN DOKTER</t>
  </si>
  <si>
    <t>: Dalam konfirmasi</t>
  </si>
  <si>
    <t>: Jl.simpang industri, Krajan, Randuangung, Kec. Singosari, Kabupaten Malang, Jawa Timur 65153ĺ</t>
  </si>
  <si>
    <t>: PT Green Mountains Natural Foods</t>
  </si>
  <si>
    <t>: 106</t>
  </si>
  <si>
    <t>Pemeriksaan Feses Lengkap</t>
  </si>
  <si>
    <t>Hepatitis A (HAV)</t>
  </si>
  <si>
    <t>Thorax PA</t>
  </si>
  <si>
    <t>IgM Salmonella (Typus)</t>
  </si>
  <si>
    <t>: Tidak menggunakan BUS MCU</t>
  </si>
  <si>
    <t>: Rumah Sakit Prima Husada Malang</t>
  </si>
  <si>
    <t>Plesterin</t>
  </si>
  <si>
    <t>Alkohol Swab</t>
  </si>
  <si>
    <t>Tabung Merah (Plain)</t>
  </si>
  <si>
    <t>Cuvvet Tutup</t>
  </si>
  <si>
    <t xml:space="preserve">Spuit 3cc Terumo </t>
  </si>
  <si>
    <t>Masker Bedah</t>
  </si>
  <si>
    <t>Cover Glass</t>
  </si>
  <si>
    <t xml:space="preserve">Tusuk Gigi </t>
  </si>
  <si>
    <t>Object Glass</t>
  </si>
  <si>
    <t>Pot Urine</t>
  </si>
  <si>
    <t>Reagen Tubex TF blue 50mikro, brown 25 mikro</t>
  </si>
  <si>
    <t>Reagen PZ (NS 500ml) 0.1cc</t>
  </si>
  <si>
    <t>Parafilm 1potong 5cm</t>
  </si>
  <si>
    <t>Handscoon uk S 1 pasang</t>
  </si>
  <si>
    <t>per 30 test</t>
  </si>
  <si>
    <t>Rujuk RSSA</t>
  </si>
  <si>
    <t>Reagen pemeriksaan sendiri</t>
  </si>
  <si>
    <t>per 35</t>
  </si>
  <si>
    <t>TOTAL BMHP PEMERIKSAAN LABORATORIUM</t>
  </si>
  <si>
    <t>*</t>
  </si>
  <si>
    <t>TOTAL HPP</t>
  </si>
  <si>
    <t>FEE/CN PERUSAHAAN</t>
  </si>
  <si>
    <t>HASIL</t>
  </si>
  <si>
    <t>MAP</t>
  </si>
  <si>
    <t>KERTAS (/RIM)</t>
  </si>
  <si>
    <t>ADMINISTRASI</t>
  </si>
  <si>
    <t>apakah standart 5000?</t>
  </si>
  <si>
    <t>TOTAL PENGELUARAN</t>
  </si>
  <si>
    <t>SELISIH PENDAPATAN DAN PENGELUARAN</t>
  </si>
  <si>
    <t>PROSENTASE MARGIN</t>
  </si>
  <si>
    <t>harga Reagen</t>
  </si>
  <si>
    <t>harga reagen</t>
  </si>
  <si>
    <t>90 dikerjakan sendiri sisa 16 pemeriksaan dirujuk ke RSSA</t>
  </si>
  <si>
    <t>Feses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</si>
</sst>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 val="doubleAccounting"/>
      <sz val="11"/>
      <name val="Arial"/>
      <family val="2"/>
    </font>
    <font>
      <sz val="11"/>
      <color rgb="FF000000"/>
      <name val="Abadi"/>
      <family val="2"/>
    </font>
    <font>
      <sz val="11"/>
      <color theme="1"/>
      <name val="Abad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41" fontId="6" fillId="2" borderId="1" xfId="3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right" vertical="center" wrapText="1"/>
    </xf>
    <xf numFmtId="0" fontId="3" fillId="3" borderId="1" xfId="0" quotePrefix="1" applyFont="1" applyFill="1" applyBorder="1" applyAlignment="1">
      <alignment horizontal="center"/>
    </xf>
    <xf numFmtId="0" fontId="3" fillId="3" borderId="1" xfId="0" quotePrefix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/>
    <xf numFmtId="41" fontId="7" fillId="3" borderId="1" xfId="3" applyFont="1" applyFill="1" applyBorder="1"/>
    <xf numFmtId="41" fontId="8" fillId="3" borderId="1" xfId="3" applyFont="1" applyFill="1" applyBorder="1" applyAlignment="1">
      <alignment horizontal="center" vertical="center" wrapText="1"/>
    </xf>
    <xf numFmtId="0" fontId="3" fillId="3" borderId="2" xfId="0" quotePrefix="1" applyFont="1" applyFill="1" applyBorder="1" applyAlignment="1">
      <alignment horizontal="left"/>
    </xf>
    <xf numFmtId="0" fontId="3" fillId="3" borderId="3" xfId="0" quotePrefix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5" fillId="3" borderId="3" xfId="0" applyFont="1" applyFill="1" applyBorder="1"/>
    <xf numFmtId="41" fontId="7" fillId="3" borderId="3" xfId="3" applyFont="1" applyFill="1" applyBorder="1"/>
    <xf numFmtId="41" fontId="9" fillId="3" borderId="3" xfId="3" applyFont="1" applyFill="1" applyBorder="1"/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41" fontId="7" fillId="0" borderId="1" xfId="3" applyFont="1" applyBorder="1"/>
    <xf numFmtId="0" fontId="5" fillId="0" borderId="1" xfId="0" applyFont="1" applyBorder="1"/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41" fontId="8" fillId="3" borderId="1" xfId="3" applyFont="1" applyFill="1" applyBorder="1"/>
    <xf numFmtId="41" fontId="3" fillId="3" borderId="1" xfId="0" applyNumberFormat="1" applyFont="1" applyFill="1" applyBorder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1" fontId="0" fillId="0" borderId="0" xfId="2" applyFont="1"/>
    <xf numFmtId="41" fontId="2" fillId="0" borderId="1" xfId="2" applyFont="1" applyBorder="1"/>
    <xf numFmtId="0" fontId="2" fillId="6" borderId="1" xfId="0" applyFont="1" applyFill="1" applyBorder="1" applyAlignment="1">
      <alignment horizontal="center"/>
    </xf>
    <xf numFmtId="41" fontId="2" fillId="6" borderId="1" xfId="2" applyFont="1" applyFill="1" applyBorder="1" applyAlignment="1">
      <alignment horizontal="center"/>
    </xf>
    <xf numFmtId="9" fontId="0" fillId="0" borderId="1" xfId="2" applyNumberFormat="1" applyFont="1" applyBorder="1"/>
    <xf numFmtId="41" fontId="0" fillId="0" borderId="0" xfId="0" applyNumberFormat="1"/>
    <xf numFmtId="0" fontId="0" fillId="0" borderId="2" xfId="0" applyBorder="1" applyAlignment="1">
      <alignment horizontal="center"/>
    </xf>
    <xf numFmtId="41" fontId="0" fillId="0" borderId="4" xfId="2" applyFont="1" applyBorder="1"/>
    <xf numFmtId="0" fontId="2" fillId="6" borderId="5" xfId="0" applyFont="1" applyFill="1" applyBorder="1" applyAlignment="1">
      <alignment horizontal="center"/>
    </xf>
    <xf numFmtId="0" fontId="0" fillId="0" borderId="6" xfId="0" applyBorder="1"/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5" fillId="0" borderId="0" xfId="0" applyFont="1" applyAlignment="1">
      <alignment wrapText="1"/>
    </xf>
    <xf numFmtId="0" fontId="5" fillId="7" borderId="0" xfId="0" applyFont="1" applyFill="1"/>
    <xf numFmtId="0" fontId="8" fillId="0" borderId="2" xfId="0" applyFont="1" applyBorder="1" applyAlignment="1">
      <alignment horizontal="left" vertical="center"/>
    </xf>
    <xf numFmtId="0" fontId="5" fillId="0" borderId="0" xfId="0" applyFont="1" applyAlignment="1">
      <alignment vertical="top"/>
    </xf>
    <xf numFmtId="0" fontId="8" fillId="0" borderId="2" xfId="0" applyFont="1" applyBorder="1"/>
    <xf numFmtId="41" fontId="7" fillId="0" borderId="1" xfId="2" applyFont="1" applyBorder="1" applyAlignment="1">
      <alignment horizontal="center" vertical="center"/>
    </xf>
    <xf numFmtId="41" fontId="7" fillId="5" borderId="1" xfId="2" applyFont="1" applyFill="1" applyBorder="1" applyAlignment="1">
      <alignment horizontal="center" vertical="center"/>
    </xf>
    <xf numFmtId="41" fontId="7" fillId="5" borderId="1" xfId="2" quotePrefix="1" applyFont="1" applyFill="1" applyBorder="1" applyAlignment="1">
      <alignment horizontal="center" vertical="center"/>
    </xf>
    <xf numFmtId="41" fontId="7" fillId="5" borderId="1" xfId="3" applyFont="1" applyFill="1" applyBorder="1" applyAlignment="1">
      <alignment horizontal="center" vertical="center"/>
    </xf>
    <xf numFmtId="41" fontId="5" fillId="0" borderId="1" xfId="2" applyFont="1" applyBorder="1" applyAlignment="1">
      <alignment horizontal="center" vertical="center"/>
    </xf>
    <xf numFmtId="41" fontId="5" fillId="0" borderId="1" xfId="2" quotePrefix="1" applyFont="1" applyBorder="1" applyAlignment="1">
      <alignment horizontal="center" vertical="center"/>
    </xf>
    <xf numFmtId="41" fontId="5" fillId="8" borderId="1" xfId="2" applyFont="1" applyFill="1" applyBorder="1" applyAlignment="1">
      <alignment horizontal="center" vertical="center"/>
    </xf>
    <xf numFmtId="41" fontId="5" fillId="0" borderId="1" xfId="2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41" fontId="6" fillId="9" borderId="1" xfId="3" applyFont="1" applyFill="1" applyBorder="1"/>
    <xf numFmtId="41" fontId="6" fillId="9" borderId="1" xfId="0" applyNumberFormat="1" applyFont="1" applyFill="1" applyBorder="1"/>
    <xf numFmtId="0" fontId="6" fillId="9" borderId="1" xfId="0" applyFont="1" applyFill="1" applyBorder="1"/>
    <xf numFmtId="41" fontId="5" fillId="0" borderId="0" xfId="2" applyFont="1"/>
    <xf numFmtId="3" fontId="5" fillId="0" borderId="0" xfId="0" applyNumberFormat="1" applyFont="1"/>
    <xf numFmtId="41" fontId="5" fillId="0" borderId="0" xfId="0" applyNumberFormat="1" applyFont="1"/>
    <xf numFmtId="41" fontId="7" fillId="0" borderId="1" xfId="2" applyFont="1" applyBorder="1"/>
    <xf numFmtId="41" fontId="8" fillId="3" borderId="1" xfId="2" applyFont="1" applyFill="1" applyBorder="1"/>
    <xf numFmtId="0" fontId="6" fillId="9" borderId="1" xfId="0" quotePrefix="1" applyFont="1" applyFill="1" applyBorder="1" applyAlignment="1">
      <alignment horizontal="center"/>
    </xf>
    <xf numFmtId="41" fontId="6" fillId="9" borderId="1" xfId="2" applyFont="1" applyFill="1" applyBorder="1"/>
    <xf numFmtId="0" fontId="6" fillId="10" borderId="3" xfId="0" applyFont="1" applyFill="1" applyBorder="1" applyAlignment="1">
      <alignment horizontal="right" vertical="center" wrapText="1"/>
    </xf>
    <xf numFmtId="0" fontId="6" fillId="10" borderId="3" xfId="0" applyFont="1" applyFill="1" applyBorder="1" applyAlignment="1">
      <alignment vertical="center" wrapText="1"/>
    </xf>
    <xf numFmtId="41" fontId="6" fillId="10" borderId="4" xfId="0" applyNumberFormat="1" applyFont="1" applyFill="1" applyBorder="1" applyAlignment="1">
      <alignment vertical="center" wrapText="1"/>
    </xf>
    <xf numFmtId="0" fontId="5" fillId="9" borderId="3" xfId="0" applyFont="1" applyFill="1" applyBorder="1"/>
    <xf numFmtId="0" fontId="5" fillId="9" borderId="4" xfId="0" applyFont="1" applyFill="1" applyBorder="1"/>
    <xf numFmtId="9" fontId="6" fillId="9" borderId="1" xfId="5" applyFont="1" applyFill="1" applyBorder="1"/>
    <xf numFmtId="41" fontId="7" fillId="0" borderId="1" xfId="2" applyFont="1" applyFill="1" applyBorder="1"/>
    <xf numFmtId="0" fontId="6" fillId="10" borderId="2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 wrapText="1"/>
    </xf>
  </cellXfs>
  <cellStyles count="6">
    <cellStyle name="Comma" xfId="1" builtinId="3"/>
    <cellStyle name="Comma [0]" xfId="2" builtinId="6"/>
    <cellStyle name="Comma [0] 2" xfId="3" xr:uid="{94877DC8-9D92-4E97-9ED3-18F5CE974A25}"/>
    <cellStyle name="Normal" xfId="0" builtinId="0"/>
    <cellStyle name="Normal 2" xfId="4" xr:uid="{16ABAE49-A06B-4F48-A0B7-6B090E627D70}"/>
    <cellStyle name="Percent" xfId="5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204788</xdr:colOff>
      <xdr:row>113</xdr:row>
      <xdr:rowOff>0</xdr:rowOff>
    </xdr:from>
    <xdr:to>
      <xdr:col>1</xdr:col>
      <xdr:colOff>781053</xdr:colOff>
      <xdr:row>113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3073E3-DE2F-4511-915F-B7487FD0ABC5}"/>
            </a:ext>
          </a:extLst>
        </xdr:cNvPr>
        <xdr:cNvSpPr txBox="1"/>
      </xdr:nvSpPr>
      <xdr:spPr>
        <a:xfrm rot="16200000">
          <a:off x="759621" y="29687042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137</xdr:row>
      <xdr:rowOff>66676</xdr:rowOff>
    </xdr:from>
    <xdr:to>
      <xdr:col>2</xdr:col>
      <xdr:colOff>0</xdr:colOff>
      <xdr:row>140</xdr:row>
      <xdr:rowOff>66676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C359540-7BF9-452E-89CF-A5B3C3AA3CB3}"/>
            </a:ext>
          </a:extLst>
        </xdr:cNvPr>
        <xdr:cNvGrpSpPr/>
      </xdr:nvGrpSpPr>
      <xdr:grpSpPr>
        <a:xfrm>
          <a:off x="2319618" y="26266029"/>
          <a:ext cx="0" cy="537882"/>
          <a:chOff x="0" y="0"/>
          <a:chExt cx="2047239" cy="82105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F2F8D9BA-4E27-FB79-7178-76AC3948977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634E4035-F0DA-959E-CC05-1DA2015E6FE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1</xdr:col>
      <xdr:colOff>204788</xdr:colOff>
      <xdr:row>112</xdr:row>
      <xdr:rowOff>0</xdr:rowOff>
    </xdr:from>
    <xdr:to>
      <xdr:col>1</xdr:col>
      <xdr:colOff>781053</xdr:colOff>
      <xdr:row>112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FCB92AB-4755-4533-9E17-5366DD750389}"/>
            </a:ext>
          </a:extLst>
        </xdr:cNvPr>
        <xdr:cNvSpPr txBox="1"/>
      </xdr:nvSpPr>
      <xdr:spPr>
        <a:xfrm rot="16200000">
          <a:off x="759621" y="29506067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136</xdr:row>
      <xdr:rowOff>66676</xdr:rowOff>
    </xdr:from>
    <xdr:to>
      <xdr:col>2</xdr:col>
      <xdr:colOff>0</xdr:colOff>
      <xdr:row>139</xdr:row>
      <xdr:rowOff>66676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A5F314EE-24AA-4730-9979-E53FB8A6D837}"/>
            </a:ext>
          </a:extLst>
        </xdr:cNvPr>
        <xdr:cNvGrpSpPr/>
      </xdr:nvGrpSpPr>
      <xdr:grpSpPr>
        <a:xfrm>
          <a:off x="2319618" y="26086735"/>
          <a:ext cx="0" cy="537882"/>
          <a:chOff x="0" y="0"/>
          <a:chExt cx="2047239" cy="821055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E47EC629-F168-0A12-AD96-C158DDAF01B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EC3FC89-0B6C-504E-0809-7E0F35C728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863D-2CE7-49DD-8222-C452074D2AD9}">
  <dimension ref="A3:F8"/>
  <sheetViews>
    <sheetView workbookViewId="0">
      <selection activeCell="C4" sqref="C4"/>
    </sheetView>
  </sheetViews>
  <sheetFormatPr defaultRowHeight="15" x14ac:dyDescent="0.25"/>
  <cols>
    <col min="1" max="1" width="3.85546875" style="43" bestFit="1" customWidth="1"/>
    <col min="2" max="2" width="31.5703125" customWidth="1"/>
    <col min="3" max="4" width="14.85546875" style="45" customWidth="1"/>
  </cols>
  <sheetData>
    <row r="3" spans="1:6" s="42" customFormat="1" x14ac:dyDescent="0.25">
      <c r="A3" s="47" t="s">
        <v>0</v>
      </c>
      <c r="B3" s="53" t="s">
        <v>1</v>
      </c>
      <c r="C3" s="48" t="s">
        <v>38</v>
      </c>
      <c r="D3" s="48" t="s">
        <v>39</v>
      </c>
    </row>
    <row r="4" spans="1:6" ht="14.25" customHeight="1" x14ac:dyDescent="0.25">
      <c r="A4" s="51">
        <v>1</v>
      </c>
      <c r="B4" s="55" t="s">
        <v>42</v>
      </c>
      <c r="C4" s="52">
        <v>70000</v>
      </c>
      <c r="D4" s="49"/>
      <c r="E4" s="50"/>
      <c r="F4" s="50"/>
    </row>
    <row r="5" spans="1:6" x14ac:dyDescent="0.25">
      <c r="A5" s="51">
        <v>2</v>
      </c>
      <c r="B5" s="55" t="s">
        <v>43</v>
      </c>
      <c r="C5" s="52">
        <v>60000</v>
      </c>
      <c r="D5" s="49"/>
      <c r="E5" s="50"/>
      <c r="F5" s="50"/>
    </row>
    <row r="6" spans="1:6" x14ac:dyDescent="0.25">
      <c r="A6" s="51">
        <v>3</v>
      </c>
      <c r="B6" s="56" t="s">
        <v>44</v>
      </c>
      <c r="C6" s="45">
        <v>23000</v>
      </c>
      <c r="D6" s="49"/>
      <c r="E6" s="50"/>
      <c r="F6" s="50"/>
    </row>
    <row r="7" spans="1:6" x14ac:dyDescent="0.25">
      <c r="A7" s="51">
        <v>4</v>
      </c>
      <c r="B7" s="55" t="s">
        <v>45</v>
      </c>
      <c r="C7" s="52">
        <v>104000</v>
      </c>
      <c r="D7" s="49"/>
      <c r="E7" s="50"/>
      <c r="F7" s="50"/>
    </row>
    <row r="8" spans="1:6" x14ac:dyDescent="0.25">
      <c r="A8" s="44"/>
      <c r="B8" s="54"/>
      <c r="C8" s="46">
        <f>SUM(C4:C7)</f>
        <v>257000</v>
      </c>
      <c r="D8" s="46">
        <f>SUM(D4:D7)</f>
        <v>0</v>
      </c>
      <c r="F8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CEDD-5D1A-4DFF-A31B-BB343D34DFA6}">
  <dimension ref="A1:K72"/>
  <sheetViews>
    <sheetView tabSelected="1" zoomScale="85" zoomScaleNormal="85" workbookViewId="0">
      <selection activeCell="C2" sqref="C2"/>
    </sheetView>
  </sheetViews>
  <sheetFormatPr defaultColWidth="8.85546875" defaultRowHeight="14.25" x14ac:dyDescent="0.2"/>
  <cols>
    <col min="1" max="1" width="4" style="2" bestFit="1" customWidth="1"/>
    <col min="2" max="2" width="30.7109375" style="2" bestFit="1" customWidth="1"/>
    <col min="3" max="4" width="35.5703125" style="2" customWidth="1"/>
    <col min="5" max="5" width="11.140625" style="2" customWidth="1"/>
    <col min="6" max="6" width="11.5703125" style="2" bestFit="1" customWidth="1"/>
    <col min="7" max="7" width="14" style="2" bestFit="1" customWidth="1"/>
    <col min="8" max="8" width="17.140625" style="2" customWidth="1"/>
    <col min="9" max="9" width="22.5703125" style="2" bestFit="1" customWidth="1"/>
    <col min="10" max="10" width="11.7109375" style="2" bestFit="1" customWidth="1"/>
    <col min="11" max="11" width="10" style="2" bestFit="1" customWidth="1"/>
    <col min="12" max="16384" width="8.85546875" style="2"/>
  </cols>
  <sheetData>
    <row r="1" spans="1:8" ht="15" x14ac:dyDescent="0.25">
      <c r="A1" s="1" t="s">
        <v>2</v>
      </c>
    </row>
    <row r="2" spans="1:8" x14ac:dyDescent="0.2">
      <c r="A2" s="2" t="s">
        <v>3</v>
      </c>
      <c r="B2" s="2" t="s">
        <v>4</v>
      </c>
      <c r="C2" s="62" t="s">
        <v>55</v>
      </c>
      <c r="D2" s="62"/>
    </row>
    <row r="3" spans="1:8" x14ac:dyDescent="0.2">
      <c r="A3" s="2" t="s">
        <v>5</v>
      </c>
      <c r="B3" s="2" t="s">
        <v>6</v>
      </c>
      <c r="C3" s="2" t="s">
        <v>46</v>
      </c>
    </row>
    <row r="4" spans="1:8" ht="57" x14ac:dyDescent="0.2">
      <c r="A4" s="2" t="s">
        <v>7</v>
      </c>
      <c r="B4" s="2" t="s">
        <v>8</v>
      </c>
      <c r="C4" s="59" t="s">
        <v>54</v>
      </c>
    </row>
    <row r="5" spans="1:8" x14ac:dyDescent="0.2">
      <c r="A5" s="2" t="s">
        <v>9</v>
      </c>
      <c r="B5" s="2" t="s">
        <v>10</v>
      </c>
      <c r="C5" s="2" t="s">
        <v>53</v>
      </c>
    </row>
    <row r="6" spans="1:8" x14ac:dyDescent="0.2">
      <c r="A6" s="2" t="s">
        <v>11</v>
      </c>
      <c r="B6" s="2" t="s">
        <v>12</v>
      </c>
      <c r="C6" s="2" t="s">
        <v>53</v>
      </c>
    </row>
    <row r="7" spans="1:8" x14ac:dyDescent="0.2">
      <c r="A7" s="2" t="s">
        <v>13</v>
      </c>
      <c r="B7" s="2" t="s">
        <v>14</v>
      </c>
      <c r="C7" s="2" t="s">
        <v>61</v>
      </c>
    </row>
    <row r="8" spans="1:8" x14ac:dyDescent="0.2">
      <c r="A8" s="2" t="s">
        <v>15</v>
      </c>
      <c r="B8" s="2" t="s">
        <v>16</v>
      </c>
      <c r="C8" s="2" t="s">
        <v>53</v>
      </c>
    </row>
    <row r="9" spans="1:8" ht="28.5" x14ac:dyDescent="0.2">
      <c r="A9" s="2" t="s">
        <v>17</v>
      </c>
      <c r="B9" s="2" t="s">
        <v>40</v>
      </c>
      <c r="C9" s="59" t="s">
        <v>62</v>
      </c>
    </row>
    <row r="10" spans="1:8" x14ac:dyDescent="0.2">
      <c r="A10" s="2" t="s">
        <v>19</v>
      </c>
      <c r="B10" s="2" t="s">
        <v>18</v>
      </c>
      <c r="C10" s="2" t="s">
        <v>56</v>
      </c>
    </row>
    <row r="11" spans="1:8" x14ac:dyDescent="0.2">
      <c r="A11" s="2" t="s">
        <v>22</v>
      </c>
      <c r="B11" s="2" t="s">
        <v>20</v>
      </c>
      <c r="C11" s="2" t="s">
        <v>21</v>
      </c>
    </row>
    <row r="12" spans="1:8" x14ac:dyDescent="0.2">
      <c r="A12" s="2" t="s">
        <v>41</v>
      </c>
      <c r="B12" s="2" t="s">
        <v>23</v>
      </c>
      <c r="C12" s="2" t="s">
        <v>24</v>
      </c>
    </row>
    <row r="13" spans="1:8" ht="15" x14ac:dyDescent="0.25">
      <c r="A13" s="1" t="s">
        <v>25</v>
      </c>
    </row>
    <row r="14" spans="1:8" ht="30" x14ac:dyDescent="0.2">
      <c r="A14" s="3" t="s">
        <v>0</v>
      </c>
      <c r="B14" s="4" t="s">
        <v>26</v>
      </c>
      <c r="C14" s="3" t="s">
        <v>27</v>
      </c>
      <c r="D14" s="3" t="s">
        <v>28</v>
      </c>
      <c r="E14" s="4" t="s">
        <v>29</v>
      </c>
      <c r="F14" s="4" t="s">
        <v>30</v>
      </c>
      <c r="G14" s="4" t="s">
        <v>31</v>
      </c>
      <c r="H14" s="4" t="s">
        <v>32</v>
      </c>
    </row>
    <row r="15" spans="1:8" ht="15" x14ac:dyDescent="0.2">
      <c r="A15" s="5" t="s">
        <v>33</v>
      </c>
      <c r="B15" s="6"/>
      <c r="C15" s="6"/>
      <c r="D15" s="6"/>
      <c r="E15" s="7"/>
      <c r="F15" s="8"/>
      <c r="G15" s="8"/>
      <c r="H15" s="8"/>
    </row>
    <row r="16" spans="1:8" ht="15" x14ac:dyDescent="0.2">
      <c r="A16" s="9" t="s">
        <v>34</v>
      </c>
      <c r="B16" s="10"/>
      <c r="C16" s="11"/>
      <c r="D16" s="11"/>
      <c r="E16" s="7"/>
      <c r="F16" s="8"/>
      <c r="G16" s="8"/>
      <c r="H16" s="8"/>
    </row>
    <row r="17" spans="1:8" ht="15" x14ac:dyDescent="0.25">
      <c r="A17" s="12">
        <v>1</v>
      </c>
      <c r="B17" s="14" t="s">
        <v>96</v>
      </c>
      <c r="C17" s="14"/>
      <c r="D17" s="15"/>
      <c r="E17" s="16">
        <v>106</v>
      </c>
      <c r="F17" s="16">
        <v>23000</v>
      </c>
      <c r="G17" s="16">
        <f>F17*E17</f>
        <v>2438000</v>
      </c>
      <c r="H17" s="17"/>
    </row>
    <row r="18" spans="1:8" ht="15" x14ac:dyDescent="0.25">
      <c r="A18" s="12">
        <v>2</v>
      </c>
      <c r="B18" s="14" t="s">
        <v>58</v>
      </c>
      <c r="C18" s="14"/>
      <c r="D18" s="15"/>
      <c r="E18" s="16">
        <v>106</v>
      </c>
      <c r="F18" s="16">
        <v>542000</v>
      </c>
      <c r="G18" s="16">
        <f t="shared" ref="G18:G20" si="0">F18*E18</f>
        <v>57452000</v>
      </c>
      <c r="H18" s="17"/>
    </row>
    <row r="19" spans="1:8" ht="15" x14ac:dyDescent="0.25">
      <c r="A19" s="12">
        <v>3</v>
      </c>
      <c r="B19" s="14" t="s">
        <v>59</v>
      </c>
      <c r="C19" s="14"/>
      <c r="D19" s="15"/>
      <c r="E19" s="16">
        <v>106</v>
      </c>
      <c r="F19" s="16">
        <v>104000</v>
      </c>
      <c r="G19" s="16">
        <f t="shared" si="0"/>
        <v>11024000</v>
      </c>
      <c r="H19" s="17"/>
    </row>
    <row r="20" spans="1:8" ht="15" x14ac:dyDescent="0.25">
      <c r="A20" s="12">
        <v>4</v>
      </c>
      <c r="B20" s="14" t="s">
        <v>60</v>
      </c>
      <c r="C20" s="14"/>
      <c r="D20" s="15"/>
      <c r="E20" s="16">
        <v>106</v>
      </c>
      <c r="F20" s="16">
        <v>270250</v>
      </c>
      <c r="G20" s="16">
        <f t="shared" si="0"/>
        <v>28646500</v>
      </c>
      <c r="H20" s="17"/>
    </row>
    <row r="21" spans="1:8" ht="15" x14ac:dyDescent="0.25">
      <c r="A21" s="12">
        <v>5</v>
      </c>
      <c r="B21" s="13"/>
      <c r="C21" s="14"/>
      <c r="D21" s="15"/>
      <c r="E21" s="16"/>
      <c r="F21" s="16"/>
      <c r="G21" s="16"/>
      <c r="H21" s="17"/>
    </row>
    <row r="22" spans="1:8" ht="15" x14ac:dyDescent="0.25">
      <c r="A22" s="12">
        <v>6</v>
      </c>
      <c r="B22" s="13"/>
      <c r="C22" s="14"/>
      <c r="D22" s="15"/>
      <c r="E22" s="16"/>
      <c r="F22" s="16"/>
      <c r="G22" s="16"/>
      <c r="H22" s="17"/>
    </row>
    <row r="23" spans="1:8" ht="15" x14ac:dyDescent="0.25">
      <c r="A23" s="12">
        <v>7</v>
      </c>
      <c r="B23" s="13"/>
      <c r="C23" s="14"/>
      <c r="D23" s="15"/>
      <c r="E23" s="16"/>
      <c r="F23" s="16"/>
      <c r="G23" s="16"/>
      <c r="H23" s="17"/>
    </row>
    <row r="24" spans="1:8" ht="15" x14ac:dyDescent="0.25">
      <c r="A24" s="12">
        <v>8</v>
      </c>
      <c r="B24" s="13"/>
      <c r="C24" s="14"/>
      <c r="D24" s="15"/>
      <c r="E24" s="16"/>
      <c r="F24" s="16"/>
      <c r="G24" s="16"/>
      <c r="H24" s="17"/>
    </row>
    <row r="25" spans="1:8" ht="15" x14ac:dyDescent="0.25">
      <c r="A25" s="12">
        <v>9</v>
      </c>
      <c r="B25" s="13"/>
      <c r="C25" s="14"/>
      <c r="D25" s="15"/>
      <c r="E25" s="16"/>
      <c r="F25" s="16"/>
      <c r="G25" s="16"/>
      <c r="H25" s="17"/>
    </row>
    <row r="26" spans="1:8" ht="15" x14ac:dyDescent="0.25">
      <c r="A26" s="12">
        <v>11</v>
      </c>
      <c r="B26" s="13"/>
      <c r="C26" s="14"/>
      <c r="D26" s="15"/>
      <c r="E26" s="16"/>
      <c r="F26" s="16"/>
      <c r="G26" s="16"/>
      <c r="H26" s="17"/>
    </row>
    <row r="27" spans="1:8" ht="15" x14ac:dyDescent="0.25">
      <c r="A27" s="12">
        <v>12</v>
      </c>
      <c r="B27" s="13"/>
      <c r="C27" s="14"/>
      <c r="D27" s="15"/>
      <c r="E27" s="16"/>
      <c r="F27" s="16"/>
      <c r="G27" s="16"/>
      <c r="H27" s="17"/>
    </row>
    <row r="28" spans="1:8" ht="15" x14ac:dyDescent="0.25">
      <c r="A28" s="12">
        <v>13</v>
      </c>
      <c r="B28" s="13"/>
      <c r="C28" s="14"/>
      <c r="D28" s="15"/>
      <c r="E28" s="16"/>
      <c r="F28" s="16"/>
      <c r="G28" s="16"/>
      <c r="H28" s="17"/>
    </row>
    <row r="29" spans="1:8" ht="15" x14ac:dyDescent="0.25">
      <c r="A29" s="12">
        <v>14</v>
      </c>
      <c r="B29" s="13"/>
      <c r="C29" s="14"/>
      <c r="D29" s="15"/>
      <c r="E29" s="16"/>
      <c r="F29" s="16"/>
      <c r="G29" s="16"/>
      <c r="H29" s="17"/>
    </row>
    <row r="30" spans="1:8" ht="17.25" x14ac:dyDescent="0.4">
      <c r="A30" s="18" t="s">
        <v>35</v>
      </c>
      <c r="B30" s="19"/>
      <c r="C30" s="20"/>
      <c r="D30" s="21"/>
      <c r="E30" s="22"/>
      <c r="F30" s="23">
        <f>SUM(F17:F29)</f>
        <v>939250</v>
      </c>
      <c r="G30" s="16"/>
      <c r="H30" s="17">
        <f>SUM(G17:G29)</f>
        <v>99560500</v>
      </c>
    </row>
    <row r="31" spans="1:8" ht="15" x14ac:dyDescent="0.2">
      <c r="A31" s="60"/>
      <c r="B31" s="24"/>
      <c r="C31" s="24"/>
      <c r="D31" s="24"/>
      <c r="E31" s="24"/>
      <c r="F31" s="24"/>
      <c r="G31" s="24"/>
      <c r="H31" s="25"/>
    </row>
    <row r="32" spans="1:8" ht="15" x14ac:dyDescent="0.25">
      <c r="A32" s="26">
        <v>1</v>
      </c>
      <c r="B32" s="61" t="s">
        <v>36</v>
      </c>
      <c r="C32" s="33" t="s">
        <v>57</v>
      </c>
      <c r="D32" s="28" t="s">
        <v>72</v>
      </c>
      <c r="E32" s="16">
        <v>106</v>
      </c>
      <c r="F32" s="64">
        <v>1000</v>
      </c>
      <c r="G32" s="29">
        <f>+E32*F32</f>
        <v>106000</v>
      </c>
      <c r="H32" s="30"/>
    </row>
    <row r="33" spans="1:11" ht="15" x14ac:dyDescent="0.25">
      <c r="A33" s="26"/>
      <c r="B33" s="27"/>
      <c r="C33" s="31"/>
      <c r="D33" s="32" t="s">
        <v>71</v>
      </c>
      <c r="E33" s="16">
        <v>106</v>
      </c>
      <c r="F33" s="64">
        <v>700</v>
      </c>
      <c r="G33" s="29">
        <f t="shared" ref="G33:G55" si="1">+E33*F33</f>
        <v>74200</v>
      </c>
      <c r="H33" s="30"/>
    </row>
    <row r="34" spans="1:11" ht="15" x14ac:dyDescent="0.25">
      <c r="A34" s="26"/>
      <c r="B34" s="27"/>
      <c r="C34" s="33"/>
      <c r="D34" s="30" t="s">
        <v>69</v>
      </c>
      <c r="E34" s="16">
        <v>106</v>
      </c>
      <c r="F34" s="65">
        <v>444</v>
      </c>
      <c r="G34" s="29">
        <f t="shared" si="1"/>
        <v>47064</v>
      </c>
      <c r="H34" s="30"/>
    </row>
    <row r="35" spans="1:11" ht="15" x14ac:dyDescent="0.25">
      <c r="A35" s="26"/>
      <c r="B35" s="63"/>
      <c r="C35" s="33"/>
      <c r="D35" s="30" t="s">
        <v>70</v>
      </c>
      <c r="E35" s="16">
        <v>106</v>
      </c>
      <c r="F35" s="66">
        <v>50</v>
      </c>
      <c r="G35" s="29">
        <f t="shared" si="1"/>
        <v>5300</v>
      </c>
      <c r="H35" s="30"/>
    </row>
    <row r="36" spans="1:11" ht="15" x14ac:dyDescent="0.25">
      <c r="A36" s="26"/>
      <c r="B36" s="63"/>
      <c r="C36" s="33"/>
      <c r="D36" s="30" t="s">
        <v>76</v>
      </c>
      <c r="E36" s="16">
        <v>106</v>
      </c>
      <c r="F36" s="67">
        <v>1923</v>
      </c>
      <c r="G36" s="29">
        <f t="shared" si="1"/>
        <v>203838</v>
      </c>
      <c r="H36" s="30"/>
    </row>
    <row r="37" spans="1:11" ht="15" x14ac:dyDescent="0.25">
      <c r="A37" s="26"/>
      <c r="B37" s="63"/>
      <c r="C37" s="33"/>
      <c r="D37" s="30" t="s">
        <v>74</v>
      </c>
      <c r="E37" s="16">
        <v>106</v>
      </c>
      <c r="F37" s="67">
        <v>2</v>
      </c>
      <c r="G37" s="29">
        <f t="shared" si="1"/>
        <v>212</v>
      </c>
      <c r="H37" s="30"/>
    </row>
    <row r="38" spans="1:11" ht="15" x14ac:dyDescent="0.25">
      <c r="A38" s="26"/>
      <c r="B38" s="63"/>
      <c r="C38" s="33"/>
      <c r="D38" s="30" t="s">
        <v>68</v>
      </c>
      <c r="E38" s="16">
        <v>106</v>
      </c>
      <c r="F38" s="67">
        <v>347</v>
      </c>
      <c r="G38" s="29">
        <f t="shared" si="1"/>
        <v>36782</v>
      </c>
      <c r="H38" s="30"/>
    </row>
    <row r="39" spans="1:11" ht="15" x14ac:dyDescent="0.25">
      <c r="A39" s="26"/>
      <c r="B39" s="63"/>
      <c r="C39" s="33"/>
      <c r="D39" s="30"/>
      <c r="E39" s="16"/>
      <c r="F39" s="67"/>
      <c r="G39" s="29"/>
      <c r="H39" s="30"/>
    </row>
    <row r="40" spans="1:11" ht="15" x14ac:dyDescent="0.25">
      <c r="A40" s="26">
        <v>2</v>
      </c>
      <c r="B40" s="61"/>
      <c r="C40" s="33" t="s">
        <v>58</v>
      </c>
      <c r="D40" s="34" t="s">
        <v>65</v>
      </c>
      <c r="E40" s="16">
        <v>106</v>
      </c>
      <c r="F40" s="72">
        <v>1235</v>
      </c>
      <c r="G40" s="29">
        <f t="shared" si="1"/>
        <v>130910</v>
      </c>
      <c r="H40" s="30"/>
    </row>
    <row r="41" spans="1:11" ht="15" x14ac:dyDescent="0.25">
      <c r="A41" s="26"/>
      <c r="B41" s="27"/>
      <c r="C41" s="57"/>
      <c r="D41" s="34" t="s">
        <v>67</v>
      </c>
      <c r="E41" s="16">
        <v>106</v>
      </c>
      <c r="F41" s="72">
        <v>8330</v>
      </c>
      <c r="G41" s="29">
        <f t="shared" si="1"/>
        <v>882980</v>
      </c>
      <c r="H41" s="30"/>
    </row>
    <row r="42" spans="1:11" ht="15" x14ac:dyDescent="0.25">
      <c r="A42" s="26"/>
      <c r="B42" s="27"/>
      <c r="C42" s="57"/>
      <c r="D42" s="34" t="s">
        <v>64</v>
      </c>
      <c r="E42" s="16">
        <v>106</v>
      </c>
      <c r="F42" s="72">
        <v>117</v>
      </c>
      <c r="G42" s="29">
        <f t="shared" si="1"/>
        <v>12402</v>
      </c>
      <c r="H42" s="30"/>
    </row>
    <row r="43" spans="1:11" ht="15" x14ac:dyDescent="0.25">
      <c r="A43" s="36"/>
      <c r="B43" s="27"/>
      <c r="C43" s="35"/>
      <c r="D43" s="34" t="s">
        <v>63</v>
      </c>
      <c r="E43" s="16">
        <v>106</v>
      </c>
      <c r="F43" s="72">
        <v>321</v>
      </c>
      <c r="G43" s="29">
        <f t="shared" si="1"/>
        <v>34026</v>
      </c>
      <c r="H43" s="30"/>
    </row>
    <row r="44" spans="1:11" ht="15" x14ac:dyDescent="0.25">
      <c r="A44" s="36"/>
      <c r="B44" s="27"/>
      <c r="C44" s="35"/>
      <c r="D44" s="73" t="s">
        <v>66</v>
      </c>
      <c r="E44" s="16">
        <v>16</v>
      </c>
      <c r="F44" s="68">
        <v>3215</v>
      </c>
      <c r="G44" s="29">
        <f t="shared" si="1"/>
        <v>51440</v>
      </c>
      <c r="H44" s="30"/>
    </row>
    <row r="45" spans="1:11" ht="15" x14ac:dyDescent="0.25">
      <c r="A45" s="36"/>
      <c r="B45" s="27"/>
      <c r="C45" s="35"/>
      <c r="D45" s="73" t="s">
        <v>75</v>
      </c>
      <c r="E45" s="16">
        <v>16</v>
      </c>
      <c r="F45" s="68">
        <v>558</v>
      </c>
      <c r="G45" s="29">
        <f t="shared" si="1"/>
        <v>8928</v>
      </c>
      <c r="H45" s="30"/>
    </row>
    <row r="46" spans="1:11" ht="15" x14ac:dyDescent="0.25">
      <c r="A46" s="36"/>
      <c r="B46" s="27"/>
      <c r="C46" s="35"/>
      <c r="D46" s="30" t="s">
        <v>76</v>
      </c>
      <c r="E46" s="16">
        <v>106</v>
      </c>
      <c r="F46" s="67">
        <v>1923</v>
      </c>
      <c r="G46" s="29">
        <f t="shared" si="1"/>
        <v>203838</v>
      </c>
      <c r="H46" s="30"/>
      <c r="J46" s="79"/>
    </row>
    <row r="47" spans="1:11" ht="15" x14ac:dyDescent="0.25">
      <c r="A47" s="36"/>
      <c r="B47" s="27"/>
      <c r="C47" s="35"/>
      <c r="D47" s="30" t="s">
        <v>79</v>
      </c>
      <c r="E47" s="16">
        <v>90</v>
      </c>
      <c r="F47" s="67">
        <v>242861</v>
      </c>
      <c r="G47" s="29">
        <f t="shared" si="1"/>
        <v>21857490</v>
      </c>
      <c r="H47" s="30"/>
      <c r="I47" s="2" t="s">
        <v>94</v>
      </c>
      <c r="J47" s="80">
        <v>7285852</v>
      </c>
      <c r="K47" s="2" t="s">
        <v>77</v>
      </c>
    </row>
    <row r="48" spans="1:11" ht="15" x14ac:dyDescent="0.25">
      <c r="A48" s="36"/>
      <c r="B48" s="27"/>
      <c r="C48" s="35"/>
      <c r="D48" s="73" t="s">
        <v>78</v>
      </c>
      <c r="E48" s="16">
        <v>16</v>
      </c>
      <c r="F48" s="69">
        <v>312000</v>
      </c>
      <c r="G48" s="29">
        <f t="shared" si="1"/>
        <v>4992000</v>
      </c>
      <c r="H48" s="30"/>
      <c r="I48" s="2" t="s">
        <v>95</v>
      </c>
    </row>
    <row r="49" spans="1:11" ht="15" x14ac:dyDescent="0.25">
      <c r="A49" s="36"/>
      <c r="B49" s="27"/>
      <c r="C49" s="35"/>
      <c r="D49" s="34"/>
      <c r="E49" s="16"/>
      <c r="F49" s="69"/>
      <c r="G49" s="29"/>
      <c r="H49" s="30"/>
    </row>
    <row r="50" spans="1:11" ht="15" x14ac:dyDescent="0.25">
      <c r="A50" s="36">
        <v>3</v>
      </c>
      <c r="B50" s="27"/>
      <c r="C50" s="33" t="s">
        <v>60</v>
      </c>
      <c r="D50" s="34" t="s">
        <v>65</v>
      </c>
      <c r="E50" s="16">
        <v>106</v>
      </c>
      <c r="F50" s="72">
        <v>1235</v>
      </c>
      <c r="G50" s="29">
        <f t="shared" si="1"/>
        <v>130910</v>
      </c>
      <c r="H50" s="30"/>
    </row>
    <row r="51" spans="1:11" ht="15" x14ac:dyDescent="0.25">
      <c r="A51" s="36"/>
      <c r="B51" s="27"/>
      <c r="C51" s="35"/>
      <c r="D51" s="34" t="s">
        <v>67</v>
      </c>
      <c r="E51" s="16">
        <v>106</v>
      </c>
      <c r="F51" s="72">
        <v>8330</v>
      </c>
      <c r="G51" s="29">
        <f t="shared" si="1"/>
        <v>882980</v>
      </c>
      <c r="H51" s="30"/>
    </row>
    <row r="52" spans="1:11" ht="15" x14ac:dyDescent="0.25">
      <c r="A52" s="36"/>
      <c r="B52" s="27"/>
      <c r="C52" s="35"/>
      <c r="D52" s="34" t="s">
        <v>64</v>
      </c>
      <c r="E52" s="16">
        <v>106</v>
      </c>
      <c r="F52" s="72">
        <v>117</v>
      </c>
      <c r="G52" s="29">
        <f t="shared" si="1"/>
        <v>12402</v>
      </c>
      <c r="H52" s="30"/>
    </row>
    <row r="53" spans="1:11" ht="15" x14ac:dyDescent="0.25">
      <c r="A53" s="36"/>
      <c r="B53" s="27"/>
      <c r="C53" s="35"/>
      <c r="D53" s="34" t="s">
        <v>63</v>
      </c>
      <c r="E53" s="16">
        <v>106</v>
      </c>
      <c r="F53" s="72">
        <v>321</v>
      </c>
      <c r="G53" s="29">
        <f t="shared" si="1"/>
        <v>34026</v>
      </c>
      <c r="H53" s="30"/>
    </row>
    <row r="54" spans="1:11" ht="15" x14ac:dyDescent="0.25">
      <c r="A54" s="36"/>
      <c r="B54" s="27"/>
      <c r="C54" s="35"/>
      <c r="D54" s="30" t="s">
        <v>76</v>
      </c>
      <c r="E54" s="16">
        <v>106</v>
      </c>
      <c r="F54" s="72">
        <v>1923</v>
      </c>
      <c r="G54" s="29">
        <f t="shared" si="1"/>
        <v>203838</v>
      </c>
      <c r="H54" s="30"/>
    </row>
    <row r="55" spans="1:11" ht="15" x14ac:dyDescent="0.25">
      <c r="A55" s="36"/>
      <c r="B55" s="27"/>
      <c r="C55" s="35"/>
      <c r="D55" s="30" t="s">
        <v>73</v>
      </c>
      <c r="E55" s="16">
        <v>106</v>
      </c>
      <c r="F55" s="71">
        <v>170480</v>
      </c>
      <c r="G55" s="29">
        <f t="shared" si="1"/>
        <v>18070880</v>
      </c>
      <c r="H55" s="30"/>
      <c r="I55" s="2" t="s">
        <v>93</v>
      </c>
      <c r="J55" s="70">
        <v>5966805</v>
      </c>
      <c r="K55" s="2" t="s">
        <v>80</v>
      </c>
    </row>
    <row r="56" spans="1:11" ht="15" x14ac:dyDescent="0.25">
      <c r="A56" s="36"/>
      <c r="B56" s="27"/>
      <c r="C56" s="35"/>
      <c r="E56" s="16"/>
      <c r="F56" s="71"/>
      <c r="G56" s="29"/>
      <c r="H56" s="30"/>
      <c r="J56" s="81"/>
    </row>
    <row r="57" spans="1:11" ht="15" x14ac:dyDescent="0.25">
      <c r="A57" s="37"/>
      <c r="B57" s="40"/>
      <c r="C57" s="14" t="s">
        <v>81</v>
      </c>
      <c r="D57" s="41"/>
      <c r="E57" s="38"/>
      <c r="F57" s="38"/>
      <c r="G57" s="38"/>
      <c r="H57" s="39">
        <f>SUM(G32:G55)</f>
        <v>47982446</v>
      </c>
    </row>
    <row r="58" spans="1:11" ht="15" x14ac:dyDescent="0.25">
      <c r="A58" s="26">
        <v>3</v>
      </c>
      <c r="B58" s="31" t="s">
        <v>48</v>
      </c>
      <c r="C58" s="58" t="s">
        <v>47</v>
      </c>
      <c r="D58" s="30" t="s">
        <v>49</v>
      </c>
      <c r="E58" s="16">
        <v>106</v>
      </c>
      <c r="F58" s="82">
        <v>9100</v>
      </c>
      <c r="G58" s="29">
        <f>E58*F58</f>
        <v>964600</v>
      </c>
      <c r="H58" s="30"/>
    </row>
    <row r="59" spans="1:11" ht="15" x14ac:dyDescent="0.25">
      <c r="A59" s="26"/>
      <c r="B59" s="31"/>
      <c r="C59" s="33"/>
      <c r="D59" s="30" t="s">
        <v>50</v>
      </c>
      <c r="E59" s="16">
        <v>106</v>
      </c>
      <c r="F59" s="82">
        <v>463.5</v>
      </c>
      <c r="G59" s="29">
        <f t="shared" ref="G59:G61" si="2">E59*F59</f>
        <v>49131</v>
      </c>
      <c r="H59" s="30"/>
    </row>
    <row r="60" spans="1:11" ht="15" x14ac:dyDescent="0.25">
      <c r="A60" s="26"/>
      <c r="B60" s="31"/>
      <c r="C60" s="33"/>
      <c r="D60" s="30" t="s">
        <v>51</v>
      </c>
      <c r="E60" s="16">
        <v>106</v>
      </c>
      <c r="F60" s="82">
        <v>11400</v>
      </c>
      <c r="G60" s="29">
        <f t="shared" si="2"/>
        <v>1208400</v>
      </c>
      <c r="H60" s="30"/>
    </row>
    <row r="61" spans="1:11" ht="15" x14ac:dyDescent="0.25">
      <c r="A61" s="26"/>
      <c r="B61" s="31"/>
      <c r="C61" s="33"/>
      <c r="D61" s="30" t="s">
        <v>52</v>
      </c>
      <c r="E61" s="16">
        <v>106</v>
      </c>
      <c r="F61" s="92">
        <v>18000</v>
      </c>
      <c r="G61" s="29">
        <f t="shared" si="2"/>
        <v>1908000</v>
      </c>
      <c r="H61" s="30"/>
    </row>
    <row r="62" spans="1:11" ht="15" x14ac:dyDescent="0.25">
      <c r="A62" s="37"/>
      <c r="B62" s="37"/>
      <c r="C62" s="14" t="s">
        <v>37</v>
      </c>
      <c r="D62" s="41"/>
      <c r="E62" s="38"/>
      <c r="F62" s="83"/>
      <c r="G62" s="38"/>
      <c r="H62" s="39">
        <f>SUM(G58:G61)</f>
        <v>4130131</v>
      </c>
    </row>
    <row r="63" spans="1:11" ht="15" x14ac:dyDescent="0.25">
      <c r="A63" s="84" t="s">
        <v>82</v>
      </c>
      <c r="B63" s="84"/>
      <c r="C63" s="75" t="s">
        <v>83</v>
      </c>
      <c r="D63" s="78"/>
      <c r="E63" s="76"/>
      <c r="F63" s="85"/>
      <c r="G63" s="76"/>
      <c r="H63" s="77">
        <f>H51+H57+H62</f>
        <v>52112577</v>
      </c>
    </row>
    <row r="64" spans="1:11" ht="15" x14ac:dyDescent="0.25">
      <c r="A64" s="74"/>
      <c r="B64" s="75"/>
      <c r="C64" s="78" t="s">
        <v>84</v>
      </c>
      <c r="D64" s="78"/>
      <c r="E64" s="76">
        <v>106</v>
      </c>
      <c r="F64" s="76">
        <v>5000</v>
      </c>
      <c r="G64" s="76">
        <f>E64*F64</f>
        <v>530000</v>
      </c>
      <c r="H64" s="77">
        <f>G64</f>
        <v>530000</v>
      </c>
      <c r="I64" s="2" t="s">
        <v>89</v>
      </c>
    </row>
    <row r="65" spans="1:8" ht="15" x14ac:dyDescent="0.25">
      <c r="A65" s="74"/>
      <c r="B65" s="75"/>
      <c r="C65" s="78" t="s">
        <v>85</v>
      </c>
      <c r="D65" s="78"/>
      <c r="E65" s="76"/>
      <c r="F65" s="76"/>
      <c r="G65" s="76"/>
      <c r="H65" s="78"/>
    </row>
    <row r="66" spans="1:8" ht="15" x14ac:dyDescent="0.25">
      <c r="A66" s="74"/>
      <c r="B66" s="75"/>
      <c r="C66" s="78"/>
      <c r="D66" s="78" t="s">
        <v>86</v>
      </c>
      <c r="E66" s="76">
        <v>106</v>
      </c>
      <c r="F66" s="85">
        <v>4000</v>
      </c>
      <c r="G66" s="76">
        <f>E66*F66</f>
        <v>424000</v>
      </c>
      <c r="H66" s="78"/>
    </row>
    <row r="67" spans="1:8" ht="15" x14ac:dyDescent="0.25">
      <c r="A67" s="74"/>
      <c r="B67" s="75"/>
      <c r="C67" s="78"/>
      <c r="D67" s="78" t="s">
        <v>87</v>
      </c>
      <c r="E67" s="76">
        <v>1</v>
      </c>
      <c r="F67" s="85">
        <v>44000</v>
      </c>
      <c r="G67" s="76">
        <f>E67*F67</f>
        <v>44000</v>
      </c>
      <c r="H67" s="78"/>
    </row>
    <row r="68" spans="1:8" ht="15" x14ac:dyDescent="0.25">
      <c r="A68" s="74"/>
      <c r="B68" s="75"/>
      <c r="C68" s="78"/>
      <c r="D68" s="78" t="s">
        <v>88</v>
      </c>
      <c r="E68" s="76">
        <v>1</v>
      </c>
      <c r="F68" s="76">
        <v>150000</v>
      </c>
      <c r="G68" s="76">
        <f>E68*F68</f>
        <v>150000</v>
      </c>
      <c r="H68" s="78"/>
    </row>
    <row r="69" spans="1:8" ht="15" x14ac:dyDescent="0.25">
      <c r="A69" s="74"/>
      <c r="B69" s="75"/>
      <c r="C69" s="78"/>
      <c r="D69" s="78"/>
      <c r="E69" s="76"/>
      <c r="F69" s="76"/>
      <c r="G69" s="76"/>
      <c r="H69" s="77">
        <f>SUM(H63:H68)</f>
        <v>52642577</v>
      </c>
    </row>
    <row r="70" spans="1:8" ht="15" x14ac:dyDescent="0.2">
      <c r="A70" s="93" t="s">
        <v>90</v>
      </c>
      <c r="B70" s="94"/>
      <c r="C70" s="94"/>
      <c r="D70" s="86"/>
      <c r="E70" s="87"/>
      <c r="F70" s="87"/>
      <c r="G70" s="87"/>
      <c r="H70" s="88">
        <f>SUM(H63:H69)</f>
        <v>105285154</v>
      </c>
    </row>
    <row r="71" spans="1:8" ht="15" x14ac:dyDescent="0.25">
      <c r="A71" s="93" t="s">
        <v>91</v>
      </c>
      <c r="B71" s="94"/>
      <c r="C71" s="94"/>
      <c r="D71" s="86"/>
      <c r="E71" s="76"/>
      <c r="F71" s="85"/>
      <c r="G71" s="76"/>
      <c r="H71" s="77">
        <f>H30-H69</f>
        <v>46917923</v>
      </c>
    </row>
    <row r="72" spans="1:8" ht="15" x14ac:dyDescent="0.25">
      <c r="A72" s="93" t="s">
        <v>92</v>
      </c>
      <c r="B72" s="94"/>
      <c r="C72" s="89"/>
      <c r="D72" s="90"/>
      <c r="E72" s="76"/>
      <c r="F72" s="85"/>
      <c r="G72" s="76"/>
      <c r="H72" s="91">
        <f>H71/H30</f>
        <v>0.47125037539988246</v>
      </c>
    </row>
  </sheetData>
  <mergeCells count="3">
    <mergeCell ref="A70:C70"/>
    <mergeCell ref="A71:C71"/>
    <mergeCell ref="A72:B72"/>
  </mergeCells>
  <conditionalFormatting sqref="D32:D33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humas</vt:lpstr>
      <vt:lpstr>bmhp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RS Prima Husada</dc:creator>
  <cp:lastModifiedBy>ADMIN</cp:lastModifiedBy>
  <dcterms:created xsi:type="dcterms:W3CDTF">2025-01-18T02:16:25Z</dcterms:created>
  <dcterms:modified xsi:type="dcterms:W3CDTF">2025-02-19T09:10:57Z</dcterms:modified>
</cp:coreProperties>
</file>