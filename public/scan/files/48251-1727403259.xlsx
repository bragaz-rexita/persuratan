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UANGAN RSPH MALANG\MCU\RW 12 PERMINTAAN MCU TIM KPPS 2024\"/>
    </mc:Choice>
  </mc:AlternateContent>
  <xr:revisionPtr revIDLastSave="0" documentId="13_ncr:1_{393674C8-ADF1-45AE-AD1F-494D2AE8CC4B}" xr6:coauthVersionLast="47" xr6:coauthVersionMax="47" xr10:uidLastSave="{00000000-0000-0000-0000-000000000000}"/>
  <bookViews>
    <workbookView xWindow="-120" yWindow="-120" windowWidth="29040" windowHeight="15840" xr2:uid="{0D92EEF2-C83C-401D-B06B-6F23DC3702F5}"/>
  </bookViews>
  <sheets>
    <sheet name="KPPS RW1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1" l="1"/>
  <c r="G31" i="1"/>
  <c r="G30" i="1"/>
  <c r="G29" i="1"/>
  <c r="G28" i="1"/>
  <c r="F26" i="1" l="1"/>
  <c r="F19" i="1"/>
  <c r="G25" i="1"/>
  <c r="G24" i="1"/>
  <c r="G23" i="1"/>
  <c r="G22" i="1"/>
  <c r="G21" i="1"/>
  <c r="H34" i="1" l="1"/>
  <c r="G18" i="1"/>
  <c r="G17" i="1"/>
  <c r="H40" i="1" l="1"/>
  <c r="G39" i="1"/>
  <c r="H39" i="1" s="1"/>
  <c r="G38" i="1"/>
  <c r="H38" i="1" s="1"/>
  <c r="G37" i="1"/>
  <c r="H37" i="1" s="1"/>
  <c r="G36" i="1"/>
  <c r="H36" i="1" s="1"/>
  <c r="G15" i="1"/>
  <c r="H15" i="1" s="1"/>
  <c r="H33" i="1" l="1"/>
  <c r="H35" i="1" s="1"/>
  <c r="H41" i="1" l="1"/>
  <c r="H42" i="1" s="1"/>
  <c r="G43" i="1" s="1"/>
</calcChain>
</file>

<file path=xl/sharedStrings.xml><?xml version="1.0" encoding="utf-8"?>
<sst xmlns="http://schemas.openxmlformats.org/spreadsheetml/2006/main" count="87" uniqueCount="73">
  <si>
    <t>FORM PERHITUNGAN TARIF MCU</t>
  </si>
  <si>
    <t>A</t>
  </si>
  <si>
    <t>Nama Perusahaan</t>
  </si>
  <si>
    <t>B</t>
  </si>
  <si>
    <t>Periode</t>
  </si>
  <si>
    <t>: -</t>
  </si>
  <si>
    <t>C</t>
  </si>
  <si>
    <t xml:space="preserve">Tempat dan Alamat </t>
  </si>
  <si>
    <t>D</t>
  </si>
  <si>
    <t>Jadwal Pelaksanaan</t>
  </si>
  <si>
    <t>E</t>
  </si>
  <si>
    <t>Tanggal dan Jam</t>
  </si>
  <si>
    <t>F</t>
  </si>
  <si>
    <t>Transportasi ke Lokasi</t>
  </si>
  <si>
    <t>G</t>
  </si>
  <si>
    <t>Tarif</t>
  </si>
  <si>
    <t>: Rp</t>
  </si>
  <si>
    <t>H</t>
  </si>
  <si>
    <t>Jumlah Peserta</t>
  </si>
  <si>
    <t>I</t>
  </si>
  <si>
    <t>Cara Pembayaran</t>
  </si>
  <si>
    <t>J</t>
  </si>
  <si>
    <t>No. Surat Kesepakatan</t>
  </si>
  <si>
    <t>Dengan perhitungan sebagai berikut :</t>
  </si>
  <si>
    <t>NO</t>
  </si>
  <si>
    <t>JENIS PEMERIKSAAN</t>
  </si>
  <si>
    <t>PEMERIKSAAN</t>
  </si>
  <si>
    <t>BMHP YANG DIGUNAKAN</t>
  </si>
  <si>
    <t>TOTAL</t>
  </si>
  <si>
    <t>PERHITUNGAN</t>
  </si>
  <si>
    <t>PENDAPATAN</t>
  </si>
  <si>
    <t>*</t>
  </si>
  <si>
    <t>PENGELUARAN</t>
  </si>
  <si>
    <t>TOTAL HPP</t>
  </si>
  <si>
    <t>FEE/CN PERUSAHAAN</t>
  </si>
  <si>
    <t>CETAK HASIL</t>
  </si>
  <si>
    <t>KONSUMSI TIM</t>
  </si>
  <si>
    <t>TRANSPORTASI</t>
  </si>
  <si>
    <t>SEWA ALAT</t>
  </si>
  <si>
    <t>TOTAL PENGELUARAN</t>
  </si>
  <si>
    <t>SELISIH PENDAPATAN DAN PENGELUARAN</t>
  </si>
  <si>
    <t>PROSENTASE MARGIN</t>
  </si>
  <si>
    <t>%</t>
  </si>
  <si>
    <t>Diajukan Oleh,</t>
  </si>
  <si>
    <t>Diketahui Oleh,</t>
  </si>
  <si>
    <t>Disetujui Oleh,</t>
  </si>
  <si>
    <t>(Keuangan Rumah Sakit)</t>
  </si>
  <si>
    <t>(Koordinator MCU)</t>
  </si>
  <si>
    <t>(Direktur Rumah Sakit)</t>
  </si>
  <si>
    <t>(Kepala Keuangan PT. Disa Prima Medika)</t>
  </si>
  <si>
    <t xml:space="preserve">: </t>
  </si>
  <si>
    <t>TOTAL PESERTA</t>
  </si>
  <si>
    <t>QTY</t>
  </si>
  <si>
    <t>HARGA</t>
  </si>
  <si>
    <t>-</t>
  </si>
  <si>
    <t>: RW 12 BANJARARUM SINGOSARI</t>
  </si>
  <si>
    <t>: Jln. Banjararum</t>
  </si>
  <si>
    <t>: 7</t>
  </si>
  <si>
    <t>: CSR / Free</t>
  </si>
  <si>
    <t>Asam urat (uric acid)</t>
  </si>
  <si>
    <t>STICK GDA</t>
  </si>
  <si>
    <t>ALKOHOL SWAB</t>
  </si>
  <si>
    <t>Cholesterol Total</t>
  </si>
  <si>
    <t>TOTAL BMHP</t>
  </si>
  <si>
    <t>PLESTERIN</t>
  </si>
  <si>
    <t>TABUNG UNGU</t>
  </si>
  <si>
    <t>HANDSCOON</t>
  </si>
  <si>
    <t>Reagen</t>
  </si>
  <si>
    <t>REAGEN URIC ACID</t>
  </si>
  <si>
    <t xml:space="preserve">TABUNG MERAH </t>
  </si>
  <si>
    <t>Malang, 26 September 2024</t>
  </si>
  <si>
    <t>MCU KPPS RW 12 BANJARARUM</t>
  </si>
  <si>
    <t>Gula Darah Sesaat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</si>
</sst>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 val="singleAccounting"/>
      <sz val="11"/>
      <color theme="1"/>
      <name val="Arial"/>
      <family val="2"/>
    </font>
    <font>
      <b/>
      <u val="singleAccounting"/>
      <sz val="11"/>
      <name val="Arial"/>
      <family val="2"/>
    </font>
    <font>
      <b/>
      <u/>
      <sz val="11"/>
      <color theme="1"/>
      <name val="Arial"/>
      <family val="2"/>
    </font>
    <font>
      <sz val="11"/>
      <color rgb="FFFF0000"/>
      <name val="Arial"/>
      <family val="2"/>
    </font>
    <font>
      <u val="singleAccounting"/>
      <sz val="11"/>
      <name val="Arial"/>
      <family val="2"/>
    </font>
    <font>
      <u val="singleAccounting"/>
      <sz val="11"/>
      <color theme="1"/>
      <name val="Arial"/>
      <family val="2"/>
    </font>
    <font>
      <b/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FF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7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41" fontId="4" fillId="3" borderId="1" xfId="3" applyFont="1" applyFill="1" applyBorder="1" applyAlignment="1">
      <alignment horizontal="center" vertical="center" wrapText="1"/>
    </xf>
    <xf numFmtId="41" fontId="4" fillId="3" borderId="1" xfId="1" applyFont="1" applyFill="1" applyBorder="1" applyAlignment="1">
      <alignment horizontal="center" vertical="center" wrapText="1"/>
    </xf>
    <xf numFmtId="0" fontId="3" fillId="4" borderId="1" xfId="0" quotePrefix="1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2" fillId="4" borderId="1" xfId="0" applyFont="1" applyFill="1" applyBorder="1"/>
    <xf numFmtId="41" fontId="5" fillId="4" borderId="1" xfId="3" applyFont="1" applyFill="1" applyBorder="1"/>
    <xf numFmtId="41" fontId="5" fillId="4" borderId="1" xfId="1" applyFont="1" applyFill="1" applyBorder="1"/>
    <xf numFmtId="41" fontId="6" fillId="4" borderId="1" xfId="3" applyFont="1" applyFill="1" applyBorder="1" applyAlignment="1">
      <alignment horizontal="center" vertical="center" wrapText="1"/>
    </xf>
    <xf numFmtId="41" fontId="2" fillId="2" borderId="0" xfId="1" applyFont="1" applyFill="1"/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/>
    <xf numFmtId="41" fontId="2" fillId="0" borderId="1" xfId="1" applyFont="1" applyBorder="1"/>
    <xf numFmtId="41" fontId="5" fillId="0" borderId="1" xfId="3" applyFont="1" applyBorder="1"/>
    <xf numFmtId="0" fontId="3" fillId="0" borderId="1" xfId="0" applyFont="1" applyBorder="1" applyAlignment="1">
      <alignment horizontal="center"/>
    </xf>
    <xf numFmtId="0" fontId="5" fillId="0" borderId="1" xfId="0" applyFont="1" applyBorder="1"/>
    <xf numFmtId="41" fontId="5" fillId="0" borderId="1" xfId="1" applyFont="1" applyBorder="1"/>
    <xf numFmtId="0" fontId="6" fillId="4" borderId="1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left"/>
    </xf>
    <xf numFmtId="0" fontId="6" fillId="4" borderId="5" xfId="0" applyFont="1" applyFill="1" applyBorder="1"/>
    <xf numFmtId="41" fontId="6" fillId="4" borderId="5" xfId="3" applyFont="1" applyFill="1" applyBorder="1"/>
    <xf numFmtId="41" fontId="6" fillId="4" borderId="5" xfId="1" applyFont="1" applyFill="1" applyBorder="1"/>
    <xf numFmtId="41" fontId="7" fillId="4" borderId="1" xfId="0" applyNumberFormat="1" applyFont="1" applyFill="1" applyBorder="1"/>
    <xf numFmtId="0" fontId="6" fillId="5" borderId="1" xfId="0" quotePrefix="1" applyFont="1" applyFill="1" applyBorder="1" applyAlignment="1">
      <alignment horizontal="center"/>
    </xf>
    <xf numFmtId="0" fontId="6" fillId="5" borderId="2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/>
    <xf numFmtId="41" fontId="6" fillId="5" borderId="1" xfId="3" applyFont="1" applyFill="1" applyBorder="1"/>
    <xf numFmtId="41" fontId="6" fillId="5" borderId="1" xfId="1" applyFont="1" applyFill="1" applyBorder="1"/>
    <xf numFmtId="41" fontId="6" fillId="5" borderId="4" xfId="0" applyNumberFormat="1" applyFont="1" applyFill="1" applyBorder="1"/>
    <xf numFmtId="0" fontId="6" fillId="5" borderId="2" xfId="0" applyFont="1" applyFill="1" applyBorder="1"/>
    <xf numFmtId="41" fontId="8" fillId="5" borderId="4" xfId="0" applyNumberFormat="1" applyFont="1" applyFill="1" applyBorder="1"/>
    <xf numFmtId="0" fontId="6" fillId="6" borderId="7" xfId="0" applyFont="1" applyFill="1" applyBorder="1" applyAlignment="1">
      <alignment vertical="center" wrapText="1"/>
    </xf>
    <xf numFmtId="41" fontId="6" fillId="6" borderId="4" xfId="0" applyNumberFormat="1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41" fontId="2" fillId="2" borderId="0" xfId="0" applyNumberFormat="1" applyFont="1" applyFill="1"/>
    <xf numFmtId="9" fontId="6" fillId="6" borderId="3" xfId="2" applyFont="1" applyFill="1" applyBorder="1" applyAlignment="1">
      <alignment vertical="center" wrapText="1"/>
    </xf>
    <xf numFmtId="41" fontId="6" fillId="6" borderId="4" xfId="0" quotePrefix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left"/>
    </xf>
    <xf numFmtId="0" fontId="6" fillId="0" borderId="1" xfId="0" quotePrefix="1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1" xfId="0" applyFont="1" applyBorder="1"/>
    <xf numFmtId="41" fontId="6" fillId="0" borderId="1" xfId="3" applyFont="1" applyFill="1" applyBorder="1"/>
    <xf numFmtId="41" fontId="6" fillId="0" borderId="1" xfId="1" applyFont="1" applyFill="1" applyBorder="1"/>
    <xf numFmtId="41" fontId="6" fillId="0" borderId="4" xfId="0" applyNumberFormat="1" applyFont="1" applyBorder="1"/>
    <xf numFmtId="41" fontId="5" fillId="4" borderId="1" xfId="3" applyFont="1" applyFill="1" applyBorder="1" applyAlignment="1">
      <alignment horizontal="center"/>
    </xf>
    <xf numFmtId="41" fontId="6" fillId="4" borderId="5" xfId="3" applyFont="1" applyFill="1" applyBorder="1" applyAlignment="1">
      <alignment horizontal="center"/>
    </xf>
    <xf numFmtId="41" fontId="6" fillId="0" borderId="1" xfId="3" applyFont="1" applyFill="1" applyBorder="1" applyAlignment="1">
      <alignment horizontal="center"/>
    </xf>
    <xf numFmtId="41" fontId="6" fillId="5" borderId="1" xfId="3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0" fillId="2" borderId="0" xfId="0" applyFont="1" applyFill="1"/>
    <xf numFmtId="0" fontId="2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right" vertical="center" wrapText="1"/>
    </xf>
    <xf numFmtId="0" fontId="6" fillId="6" borderId="6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left"/>
    </xf>
    <xf numFmtId="41" fontId="5" fillId="2" borderId="1" xfId="3" applyFont="1" applyFill="1" applyBorder="1"/>
    <xf numFmtId="41" fontId="2" fillId="0" borderId="1" xfId="3" applyFont="1" applyBorder="1"/>
    <xf numFmtId="41" fontId="11" fillId="2" borderId="1" xfId="3" applyFont="1" applyFill="1" applyBorder="1"/>
    <xf numFmtId="41" fontId="6" fillId="0" borderId="1" xfId="3" applyFont="1" applyBorder="1"/>
    <xf numFmtId="41" fontId="5" fillId="2" borderId="1" xfId="1" applyFont="1" applyFill="1" applyBorder="1"/>
    <xf numFmtId="41" fontId="12" fillId="0" borderId="1" xfId="3" applyFont="1" applyBorder="1"/>
    <xf numFmtId="0" fontId="2" fillId="0" borderId="1" xfId="4" applyFont="1" applyBorder="1" applyAlignment="1">
      <alignment horizontal="left"/>
    </xf>
    <xf numFmtId="41" fontId="11" fillId="0" borderId="1" xfId="1" applyFont="1" applyBorder="1"/>
    <xf numFmtId="41" fontId="13" fillId="6" borderId="4" xfId="0" applyNumberFormat="1" applyFont="1" applyFill="1" applyBorder="1" applyAlignment="1">
      <alignment vertical="center" wrapText="1"/>
    </xf>
  </cellXfs>
  <cellStyles count="5">
    <cellStyle name="Comma [0]" xfId="1" builtinId="6"/>
    <cellStyle name="Comma [0] 2" xfId="3" xr:uid="{D9B4B59D-8DCE-42EC-9185-9110D5E3709A}"/>
    <cellStyle name="Normal" xfId="0" builtinId="0"/>
    <cellStyle name="Normal 2" xfId="4" xr:uid="{2957FD72-EC19-42EC-8D22-A15CE3575AFB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EEF08-7C58-48E8-8508-DE0908DB37A2}">
  <dimension ref="A1:M52"/>
  <sheetViews>
    <sheetView tabSelected="1" workbookViewId="0">
      <pane ySplit="13" topLeftCell="A14" activePane="bottomLeft" state="frozen"/>
      <selection pane="bottomLeft" activeCell="L24" sqref="L24"/>
    </sheetView>
  </sheetViews>
  <sheetFormatPr defaultRowHeight="14.25" x14ac:dyDescent="0.2"/>
  <cols>
    <col min="1" max="1" width="4" style="43" bestFit="1" customWidth="1"/>
    <col min="2" max="2" width="24.85546875" style="43" customWidth="1"/>
    <col min="3" max="3" width="23.28515625" style="43" customWidth="1"/>
    <col min="4" max="4" width="36" style="43" bestFit="1" customWidth="1"/>
    <col min="5" max="5" width="6.140625" style="57" bestFit="1" customWidth="1"/>
    <col min="6" max="6" width="11.5703125" style="43" bestFit="1" customWidth="1"/>
    <col min="7" max="7" width="13.140625" style="43" bestFit="1" customWidth="1"/>
    <col min="8" max="8" width="17.140625" style="43" customWidth="1"/>
    <col min="9" max="9" width="12.5703125" style="1" bestFit="1" customWidth="1"/>
    <col min="10" max="13" width="9.140625" style="1"/>
    <col min="14" max="16384" width="9.140625" style="43"/>
  </cols>
  <sheetData>
    <row r="1" spans="1:9" s="1" customFormat="1" ht="15" x14ac:dyDescent="0.25">
      <c r="A1" s="62" t="s">
        <v>0</v>
      </c>
      <c r="B1" s="62"/>
      <c r="C1" s="62"/>
      <c r="D1" s="62"/>
      <c r="E1" s="62"/>
      <c r="F1" s="62"/>
      <c r="G1" s="62"/>
      <c r="H1" s="62"/>
    </row>
    <row r="2" spans="1:9" s="1" customFormat="1" x14ac:dyDescent="0.2">
      <c r="A2" s="1" t="s">
        <v>1</v>
      </c>
      <c r="B2" s="1" t="s">
        <v>2</v>
      </c>
      <c r="C2" s="1" t="s">
        <v>55</v>
      </c>
      <c r="E2" s="42"/>
    </row>
    <row r="3" spans="1:9" s="1" customFormat="1" x14ac:dyDescent="0.2">
      <c r="A3" s="1" t="s">
        <v>3</v>
      </c>
      <c r="B3" s="1" t="s">
        <v>4</v>
      </c>
      <c r="C3" s="1" t="s">
        <v>5</v>
      </c>
      <c r="E3" s="42"/>
    </row>
    <row r="4" spans="1:9" s="1" customFormat="1" x14ac:dyDescent="0.2">
      <c r="A4" s="1" t="s">
        <v>6</v>
      </c>
      <c r="B4" s="1" t="s">
        <v>7</v>
      </c>
      <c r="C4" s="1" t="s">
        <v>56</v>
      </c>
      <c r="E4" s="42"/>
    </row>
    <row r="5" spans="1:9" s="1" customFormat="1" x14ac:dyDescent="0.2">
      <c r="A5" s="1" t="s">
        <v>8</v>
      </c>
      <c r="B5" s="1" t="s">
        <v>9</v>
      </c>
      <c r="C5" s="1" t="s">
        <v>50</v>
      </c>
      <c r="E5" s="42"/>
    </row>
    <row r="6" spans="1:9" s="1" customFormat="1" x14ac:dyDescent="0.2">
      <c r="A6" s="1" t="s">
        <v>10</v>
      </c>
      <c r="B6" s="1" t="s">
        <v>11</v>
      </c>
      <c r="C6" s="1" t="s">
        <v>50</v>
      </c>
      <c r="E6" s="42"/>
    </row>
    <row r="7" spans="1:9" s="1" customFormat="1" x14ac:dyDescent="0.2">
      <c r="A7" s="1" t="s">
        <v>12</v>
      </c>
      <c r="B7" s="1" t="s">
        <v>13</v>
      </c>
      <c r="C7" s="1" t="s">
        <v>50</v>
      </c>
      <c r="E7" s="42"/>
    </row>
    <row r="8" spans="1:9" s="1" customFormat="1" x14ac:dyDescent="0.2">
      <c r="A8" s="1" t="s">
        <v>14</v>
      </c>
      <c r="B8" s="1" t="s">
        <v>15</v>
      </c>
      <c r="C8" s="1" t="s">
        <v>16</v>
      </c>
      <c r="E8" s="42"/>
    </row>
    <row r="9" spans="1:9" s="1" customFormat="1" x14ac:dyDescent="0.2">
      <c r="A9" s="1" t="s">
        <v>17</v>
      </c>
      <c r="B9" s="1" t="s">
        <v>18</v>
      </c>
      <c r="C9" s="1" t="s">
        <v>57</v>
      </c>
      <c r="E9" s="42"/>
    </row>
    <row r="10" spans="1:9" s="1" customFormat="1" x14ac:dyDescent="0.2">
      <c r="A10" s="1" t="s">
        <v>19</v>
      </c>
      <c r="B10" s="1" t="s">
        <v>20</v>
      </c>
      <c r="C10" s="1" t="s">
        <v>58</v>
      </c>
      <c r="E10" s="42"/>
    </row>
    <row r="11" spans="1:9" s="1" customFormat="1" x14ac:dyDescent="0.2">
      <c r="A11" s="1" t="s">
        <v>21</v>
      </c>
      <c r="B11" s="1" t="s">
        <v>22</v>
      </c>
      <c r="C11" s="1" t="s">
        <v>50</v>
      </c>
      <c r="E11" s="42"/>
    </row>
    <row r="12" spans="1:9" s="1" customFormat="1" ht="15" x14ac:dyDescent="0.25">
      <c r="A12" s="2" t="s">
        <v>23</v>
      </c>
      <c r="E12" s="42"/>
    </row>
    <row r="13" spans="1:9" s="1" customFormat="1" ht="30" x14ac:dyDescent="0.2">
      <c r="A13" s="3" t="s">
        <v>24</v>
      </c>
      <c r="B13" s="4" t="s">
        <v>25</v>
      </c>
      <c r="C13" s="3" t="s">
        <v>26</v>
      </c>
      <c r="D13" s="3" t="s">
        <v>27</v>
      </c>
      <c r="E13" s="4" t="s">
        <v>52</v>
      </c>
      <c r="F13" s="5" t="s">
        <v>53</v>
      </c>
      <c r="G13" s="4" t="s">
        <v>28</v>
      </c>
      <c r="H13" s="4" t="s">
        <v>29</v>
      </c>
    </row>
    <row r="14" spans="1:9" s="1" customFormat="1" ht="15" x14ac:dyDescent="0.2">
      <c r="A14" s="63" t="s">
        <v>30</v>
      </c>
      <c r="B14" s="64"/>
      <c r="C14" s="64"/>
      <c r="D14" s="64"/>
      <c r="E14" s="64"/>
      <c r="F14" s="64"/>
      <c r="G14" s="64"/>
      <c r="H14" s="65"/>
    </row>
    <row r="15" spans="1:9" s="1" customFormat="1" ht="15" x14ac:dyDescent="0.25">
      <c r="A15" s="6" t="s">
        <v>31</v>
      </c>
      <c r="B15" s="6"/>
      <c r="C15" s="7" t="s">
        <v>71</v>
      </c>
      <c r="D15" s="8"/>
      <c r="E15" s="51">
        <v>7</v>
      </c>
      <c r="F15" s="10"/>
      <c r="G15" s="9">
        <f>+E15*F15</f>
        <v>0</v>
      </c>
      <c r="H15" s="11">
        <f>+G15</f>
        <v>0</v>
      </c>
      <c r="I15" s="12"/>
    </row>
    <row r="16" spans="1:9" s="1" customFormat="1" ht="15" x14ac:dyDescent="0.2">
      <c r="A16" s="63" t="s">
        <v>32</v>
      </c>
      <c r="B16" s="64"/>
      <c r="C16" s="64"/>
      <c r="D16" s="64"/>
      <c r="E16" s="64"/>
      <c r="F16" s="64"/>
      <c r="G16" s="64"/>
      <c r="H16" s="65"/>
    </row>
    <row r="17" spans="1:9" s="1" customFormat="1" ht="15" x14ac:dyDescent="0.25">
      <c r="A17" s="13">
        <v>1</v>
      </c>
      <c r="B17" s="13" t="s">
        <v>26</v>
      </c>
      <c r="C17" s="44" t="s">
        <v>72</v>
      </c>
      <c r="D17" s="68" t="s">
        <v>60</v>
      </c>
      <c r="E17" s="69">
        <v>7</v>
      </c>
      <c r="F17" s="70">
        <v>8897</v>
      </c>
      <c r="G17" s="17">
        <f t="shared" ref="G17:G18" si="0">+E17*F17</f>
        <v>62279</v>
      </c>
      <c r="H17" s="15"/>
    </row>
    <row r="18" spans="1:9" s="1" customFormat="1" ht="16.5" x14ac:dyDescent="0.35">
      <c r="A18" s="13"/>
      <c r="B18" s="13"/>
      <c r="C18" s="14"/>
      <c r="D18" s="68" t="s">
        <v>61</v>
      </c>
      <c r="E18" s="69">
        <v>7</v>
      </c>
      <c r="F18" s="74">
        <v>105</v>
      </c>
      <c r="G18" s="17">
        <f t="shared" si="0"/>
        <v>735</v>
      </c>
      <c r="H18" s="15"/>
      <c r="I18" s="12"/>
    </row>
    <row r="19" spans="1:9" s="1" customFormat="1" ht="15" x14ac:dyDescent="0.25">
      <c r="A19" s="13"/>
      <c r="B19" s="13"/>
      <c r="C19" s="14"/>
      <c r="D19" s="15"/>
      <c r="E19" s="58"/>
      <c r="F19" s="72">
        <f>SUM(F17:F18)</f>
        <v>9002</v>
      </c>
      <c r="G19" s="72"/>
      <c r="H19" s="15"/>
    </row>
    <row r="20" spans="1:9" s="1" customFormat="1" ht="15" x14ac:dyDescent="0.25">
      <c r="A20" s="18"/>
      <c r="B20" s="18"/>
      <c r="C20" s="14"/>
      <c r="D20" s="19"/>
      <c r="E20" s="58"/>
      <c r="F20" s="20"/>
      <c r="G20" s="17"/>
      <c r="H20" s="15"/>
    </row>
    <row r="21" spans="1:9" s="1" customFormat="1" ht="15" x14ac:dyDescent="0.25">
      <c r="A21" s="18">
        <v>2</v>
      </c>
      <c r="B21" s="18"/>
      <c r="C21" s="14" t="s">
        <v>62</v>
      </c>
      <c r="D21" s="68" t="s">
        <v>64</v>
      </c>
      <c r="E21" s="69">
        <v>7</v>
      </c>
      <c r="F21" s="73">
        <v>234</v>
      </c>
      <c r="G21" s="17">
        <f t="shared" ref="G21:G25" si="1">+E21*F21</f>
        <v>1638</v>
      </c>
      <c r="H21" s="15"/>
    </row>
    <row r="22" spans="1:9" s="1" customFormat="1" ht="15" x14ac:dyDescent="0.25">
      <c r="A22" s="18"/>
      <c r="B22" s="18"/>
      <c r="C22" s="14"/>
      <c r="D22" s="68" t="s">
        <v>61</v>
      </c>
      <c r="E22" s="69">
        <v>7</v>
      </c>
      <c r="F22" s="20">
        <v>104.78</v>
      </c>
      <c r="G22" s="17">
        <f t="shared" si="1"/>
        <v>733.46</v>
      </c>
      <c r="H22" s="15"/>
      <c r="I22" s="60"/>
    </row>
    <row r="23" spans="1:9" s="1" customFormat="1" ht="15" x14ac:dyDescent="0.25">
      <c r="A23" s="18"/>
      <c r="B23" s="18"/>
      <c r="C23" s="14"/>
      <c r="D23" s="68" t="s">
        <v>65</v>
      </c>
      <c r="E23" s="69">
        <v>7</v>
      </c>
      <c r="F23" s="20">
        <v>1170</v>
      </c>
      <c r="G23" s="17">
        <f t="shared" si="1"/>
        <v>8190</v>
      </c>
      <c r="H23" s="15"/>
    </row>
    <row r="24" spans="1:9" s="1" customFormat="1" ht="15" x14ac:dyDescent="0.25">
      <c r="A24" s="18"/>
      <c r="B24" s="18"/>
      <c r="C24" s="14"/>
      <c r="D24" s="68" t="s">
        <v>66</v>
      </c>
      <c r="E24" s="69">
        <v>7</v>
      </c>
      <c r="F24" s="16">
        <v>6152</v>
      </c>
      <c r="G24" s="17">
        <f t="shared" si="1"/>
        <v>43064</v>
      </c>
      <c r="H24" s="15"/>
    </row>
    <row r="25" spans="1:9" s="1" customFormat="1" ht="16.5" x14ac:dyDescent="0.35">
      <c r="A25" s="18"/>
      <c r="B25" s="18"/>
      <c r="C25" s="14"/>
      <c r="D25" s="68" t="s">
        <v>67</v>
      </c>
      <c r="E25" s="69">
        <v>7</v>
      </c>
      <c r="F25" s="71">
        <v>3709</v>
      </c>
      <c r="G25" s="17">
        <f t="shared" si="1"/>
        <v>25963</v>
      </c>
      <c r="H25" s="15"/>
    </row>
    <row r="26" spans="1:9" s="1" customFormat="1" ht="15" x14ac:dyDescent="0.25">
      <c r="A26" s="18"/>
      <c r="B26" s="18"/>
      <c r="C26" s="14"/>
      <c r="D26" s="19"/>
      <c r="E26" s="58"/>
      <c r="F26" s="72">
        <f>SUM(F24:F25)</f>
        <v>9861</v>
      </c>
      <c r="G26" s="72"/>
      <c r="H26" s="15"/>
    </row>
    <row r="27" spans="1:9" s="1" customFormat="1" ht="15" x14ac:dyDescent="0.25">
      <c r="A27" s="18"/>
      <c r="B27" s="18"/>
      <c r="C27" s="14"/>
      <c r="D27" s="19"/>
      <c r="E27" s="58"/>
      <c r="F27" s="72"/>
      <c r="G27" s="72"/>
      <c r="H27" s="15"/>
    </row>
    <row r="28" spans="1:9" s="1" customFormat="1" ht="15" x14ac:dyDescent="0.25">
      <c r="A28" s="18">
        <v>3</v>
      </c>
      <c r="B28" s="18"/>
      <c r="C28" s="14" t="s">
        <v>59</v>
      </c>
      <c r="D28" s="68" t="s">
        <v>68</v>
      </c>
      <c r="E28" s="69">
        <v>7</v>
      </c>
      <c r="F28" s="70">
        <v>6839</v>
      </c>
      <c r="G28" s="17">
        <f t="shared" ref="G28:G31" si="2">+E28*F28</f>
        <v>47873</v>
      </c>
      <c r="H28" s="15"/>
    </row>
    <row r="29" spans="1:9" s="1" customFormat="1" ht="15" x14ac:dyDescent="0.25">
      <c r="A29" s="18"/>
      <c r="B29" s="18"/>
      <c r="C29" s="14"/>
      <c r="D29" s="68" t="s">
        <v>64</v>
      </c>
      <c r="E29" s="69">
        <v>7</v>
      </c>
      <c r="F29" s="73">
        <v>234</v>
      </c>
      <c r="G29" s="17">
        <f t="shared" si="2"/>
        <v>1638</v>
      </c>
      <c r="H29" s="15"/>
    </row>
    <row r="30" spans="1:9" s="1" customFormat="1" ht="15" x14ac:dyDescent="0.25">
      <c r="A30" s="18"/>
      <c r="B30" s="18"/>
      <c r="C30" s="14"/>
      <c r="D30" s="68" t="s">
        <v>61</v>
      </c>
      <c r="E30" s="69">
        <v>7</v>
      </c>
      <c r="F30" s="20">
        <v>104.78</v>
      </c>
      <c r="G30" s="17">
        <f t="shared" si="2"/>
        <v>733.46</v>
      </c>
      <c r="H30" s="15"/>
    </row>
    <row r="31" spans="1:9" s="1" customFormat="1" ht="16.5" x14ac:dyDescent="0.35">
      <c r="A31" s="18"/>
      <c r="B31" s="18"/>
      <c r="C31" s="14"/>
      <c r="D31" s="68" t="s">
        <v>69</v>
      </c>
      <c r="E31" s="69">
        <v>7</v>
      </c>
      <c r="F31" s="76">
        <v>1410</v>
      </c>
      <c r="G31" s="17">
        <f t="shared" si="2"/>
        <v>9870</v>
      </c>
      <c r="H31" s="15"/>
    </row>
    <row r="32" spans="1:9" s="1" customFormat="1" ht="15" x14ac:dyDescent="0.25">
      <c r="A32" s="18"/>
      <c r="B32" s="18"/>
      <c r="C32" s="14"/>
      <c r="D32" s="75"/>
      <c r="E32" s="69"/>
      <c r="F32" s="72">
        <f>SUM(F28:F31)</f>
        <v>8587.7799999999988</v>
      </c>
      <c r="G32" s="17"/>
      <c r="H32" s="15"/>
    </row>
    <row r="33" spans="1:10" s="1" customFormat="1" ht="19.5" x14ac:dyDescent="0.55000000000000004">
      <c r="A33" s="21"/>
      <c r="B33" s="21"/>
      <c r="C33" s="22" t="s">
        <v>63</v>
      </c>
      <c r="D33" s="23"/>
      <c r="E33" s="52"/>
      <c r="F33" s="25"/>
      <c r="G33" s="24"/>
      <c r="H33" s="26">
        <f>SUM(G17:G32)</f>
        <v>202716.91999999998</v>
      </c>
    </row>
    <row r="34" spans="1:10" s="1" customFormat="1" ht="15" x14ac:dyDescent="0.25">
      <c r="A34" s="45" t="s">
        <v>31</v>
      </c>
      <c r="B34" s="46" t="s">
        <v>51</v>
      </c>
      <c r="C34" s="44"/>
      <c r="D34" s="47"/>
      <c r="E34" s="53"/>
      <c r="F34" s="49"/>
      <c r="G34" s="48"/>
      <c r="H34" s="50">
        <f>E15</f>
        <v>7</v>
      </c>
    </row>
    <row r="35" spans="1:10" s="1" customFormat="1" ht="15" x14ac:dyDescent="0.25">
      <c r="A35" s="27" t="s">
        <v>31</v>
      </c>
      <c r="B35" s="28" t="s">
        <v>33</v>
      </c>
      <c r="C35" s="29"/>
      <c r="D35" s="30"/>
      <c r="E35" s="54"/>
      <c r="F35" s="32"/>
      <c r="G35" s="31"/>
      <c r="H35" s="33">
        <f>+H33*H34</f>
        <v>1419018.44</v>
      </c>
    </row>
    <row r="36" spans="1:10" s="1" customFormat="1" ht="15" x14ac:dyDescent="0.25">
      <c r="A36" s="27" t="s">
        <v>31</v>
      </c>
      <c r="B36" s="34" t="s">
        <v>34</v>
      </c>
      <c r="C36" s="30"/>
      <c r="D36" s="30"/>
      <c r="E36" s="54"/>
      <c r="F36" s="32"/>
      <c r="G36" s="31">
        <f>+E36*F36</f>
        <v>0</v>
      </c>
      <c r="H36" s="33">
        <f t="shared" ref="H36:H39" si="3">G36</f>
        <v>0</v>
      </c>
    </row>
    <row r="37" spans="1:10" s="1" customFormat="1" ht="15" x14ac:dyDescent="0.25">
      <c r="A37" s="27" t="s">
        <v>31</v>
      </c>
      <c r="B37" s="34" t="s">
        <v>35</v>
      </c>
      <c r="C37" s="30" t="s">
        <v>54</v>
      </c>
      <c r="D37" s="30"/>
      <c r="E37" s="54">
        <v>14</v>
      </c>
      <c r="F37" s="32">
        <v>90</v>
      </c>
      <c r="G37" s="31">
        <f t="shared" ref="G37:G39" si="4">+E37*F37</f>
        <v>1260</v>
      </c>
      <c r="H37" s="33">
        <f t="shared" si="3"/>
        <v>1260</v>
      </c>
    </row>
    <row r="38" spans="1:10" s="1" customFormat="1" ht="15" x14ac:dyDescent="0.25">
      <c r="A38" s="27" t="s">
        <v>31</v>
      </c>
      <c r="B38" s="34" t="s">
        <v>36</v>
      </c>
      <c r="C38" s="30"/>
      <c r="D38" s="30"/>
      <c r="E38" s="54"/>
      <c r="F38" s="32"/>
      <c r="G38" s="31">
        <f t="shared" si="4"/>
        <v>0</v>
      </c>
      <c r="H38" s="33">
        <f t="shared" si="3"/>
        <v>0</v>
      </c>
    </row>
    <row r="39" spans="1:10" s="1" customFormat="1" ht="15" x14ac:dyDescent="0.25">
      <c r="A39" s="27" t="s">
        <v>31</v>
      </c>
      <c r="B39" s="34" t="s">
        <v>37</v>
      </c>
      <c r="C39" s="30"/>
      <c r="D39" s="30"/>
      <c r="E39" s="54"/>
      <c r="F39" s="32"/>
      <c r="G39" s="31">
        <f t="shared" si="4"/>
        <v>0</v>
      </c>
      <c r="H39" s="33">
        <f t="shared" si="3"/>
        <v>0</v>
      </c>
    </row>
    <row r="40" spans="1:10" s="1" customFormat="1" ht="19.5" x14ac:dyDescent="0.55000000000000004">
      <c r="A40" s="27" t="s">
        <v>31</v>
      </c>
      <c r="B40" s="34" t="s">
        <v>38</v>
      </c>
      <c r="C40" s="30"/>
      <c r="D40" s="30"/>
      <c r="E40" s="54"/>
      <c r="F40" s="32"/>
      <c r="G40" s="31"/>
      <c r="H40" s="35">
        <f>E40*F40</f>
        <v>0</v>
      </c>
    </row>
    <row r="41" spans="1:10" s="1" customFormat="1" ht="15" x14ac:dyDescent="0.2">
      <c r="A41" s="66" t="s">
        <v>39</v>
      </c>
      <c r="B41" s="66"/>
      <c r="C41" s="67"/>
      <c r="D41" s="67"/>
      <c r="E41" s="55"/>
      <c r="F41" s="36"/>
      <c r="G41" s="36"/>
      <c r="H41" s="37">
        <f>SUM(H35:H40)</f>
        <v>1420278.44</v>
      </c>
    </row>
    <row r="42" spans="1:10" s="1" customFormat="1" ht="15" x14ac:dyDescent="0.2">
      <c r="A42" s="66" t="s">
        <v>40</v>
      </c>
      <c r="B42" s="66"/>
      <c r="C42" s="66"/>
      <c r="D42" s="66"/>
      <c r="E42" s="56"/>
      <c r="F42" s="38"/>
      <c r="G42" s="38"/>
      <c r="H42" s="77">
        <f>+H15-H41</f>
        <v>-1420278.44</v>
      </c>
      <c r="I42" s="39"/>
      <c r="J42" s="39"/>
    </row>
    <row r="43" spans="1:10" s="1" customFormat="1" ht="15" x14ac:dyDescent="0.2">
      <c r="A43" s="66" t="s">
        <v>41</v>
      </c>
      <c r="B43" s="66"/>
      <c r="C43" s="66"/>
      <c r="D43" s="66"/>
      <c r="E43" s="56"/>
      <c r="F43" s="38"/>
      <c r="G43" s="40" t="e">
        <f>+(H42/H15)</f>
        <v>#DIV/0!</v>
      </c>
      <c r="H43" s="41" t="s">
        <v>42</v>
      </c>
      <c r="I43" s="39"/>
    </row>
    <row r="44" spans="1:10" s="1" customFormat="1" x14ac:dyDescent="0.2">
      <c r="E44" s="42"/>
    </row>
    <row r="45" spans="1:10" s="1" customFormat="1" x14ac:dyDescent="0.2">
      <c r="B45" s="1" t="s">
        <v>70</v>
      </c>
      <c r="E45" s="42"/>
    </row>
    <row r="46" spans="1:10" s="1" customFormat="1" x14ac:dyDescent="0.2">
      <c r="B46" s="42" t="s">
        <v>43</v>
      </c>
      <c r="C46" s="42" t="s">
        <v>44</v>
      </c>
      <c r="D46" s="61" t="s">
        <v>45</v>
      </c>
      <c r="E46" s="61"/>
      <c r="F46" s="61"/>
      <c r="G46" s="61"/>
    </row>
    <row r="47" spans="1:10" s="1" customFormat="1" x14ac:dyDescent="0.2">
      <c r="E47" s="42"/>
    </row>
    <row r="48" spans="1:10" s="1" customFormat="1" x14ac:dyDescent="0.2">
      <c r="E48" s="42"/>
    </row>
    <row r="49" spans="2:8" s="1" customFormat="1" x14ac:dyDescent="0.2">
      <c r="E49" s="42"/>
    </row>
    <row r="50" spans="2:8" s="1" customFormat="1" x14ac:dyDescent="0.2">
      <c r="E50" s="42"/>
    </row>
    <row r="51" spans="2:8" s="1" customFormat="1" ht="15" x14ac:dyDescent="0.25">
      <c r="B51" s="59" t="s">
        <v>46</v>
      </c>
      <c r="C51" s="59" t="s">
        <v>47</v>
      </c>
      <c r="D51" s="59" t="s">
        <v>48</v>
      </c>
      <c r="E51" s="59"/>
      <c r="F51" s="59" t="s">
        <v>49</v>
      </c>
      <c r="G51" s="59"/>
      <c r="H51" s="59"/>
    </row>
    <row r="52" spans="2:8" s="1" customFormat="1" x14ac:dyDescent="0.2">
      <c r="E52" s="42"/>
    </row>
  </sheetData>
  <mergeCells count="7">
    <mergeCell ref="D46:G46"/>
    <mergeCell ref="A1:H1"/>
    <mergeCell ref="A14:H14"/>
    <mergeCell ref="A16:H16"/>
    <mergeCell ref="A41:D41"/>
    <mergeCell ref="A42:D42"/>
    <mergeCell ref="A43:D4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KPPS RW12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Ratna RS Prima Husada</dc:creator>
  <cp:lastModifiedBy>Ratna RS Prima Husada</cp:lastModifiedBy>
  <dcterms:created xsi:type="dcterms:W3CDTF">2024-03-08T02:30:56Z</dcterms:created>
  <dcterms:modified xsi:type="dcterms:W3CDTF">2024-09-26T08:29:18Z</dcterms:modified>
</cp:coreProperties>
</file>