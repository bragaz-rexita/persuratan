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CC7EB3-0542-4EC3-8573-69A472994A55}" xr6:coauthVersionLast="47" xr6:coauthVersionMax="47" xr10:uidLastSave="{00000000-0000-0000-0000-000000000000}"/>
  <bookViews>
    <workbookView xWindow="-110" yWindow="-110" windowWidth="19420" windowHeight="10300" activeTab="3" xr2:uid="{BFDB2FFE-D8A1-4BC8-B977-5D4486CBAD12}"/>
  </bookViews>
  <sheets>
    <sheet name="BIAYA TAK LANGSUNG" sheetId="2" r:id="rId1"/>
    <sheet name="PEGAWAI" sheetId="5" r:id="rId2"/>
    <sheet name="BMHP" sheetId="4" r:id="rId3"/>
    <sheet name="KENDARAAN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2" l="1"/>
  <c r="B11" i="5" l="1"/>
  <c r="C7" i="5" l="1"/>
  <c r="C5" i="5"/>
  <c r="C8" i="5" s="1"/>
  <c r="D11" i="5" l="1"/>
</calcChain>
</file>

<file path=xl/sharedStrings.xml><?xml version="1.0" encoding="utf-8"?>
<sst xmlns="http://schemas.openxmlformats.org/spreadsheetml/2006/main" count="92" uniqueCount="86">
  <si>
    <t>UNIT COST</t>
  </si>
  <si>
    <t>No</t>
  </si>
  <si>
    <t>Produk Pelayanan</t>
  </si>
  <si>
    <t>BIAYA TAK LANGSUNG</t>
  </si>
  <si>
    <t>NO</t>
  </si>
  <si>
    <t>PEMERIKSAAN</t>
  </si>
  <si>
    <t>POLI</t>
  </si>
  <si>
    <t>WAKTU YANG DIBUTUHKAN UNTUK TINDAKAN</t>
  </si>
  <si>
    <t>BMHP YANG DIGUNAKAN UNTUK TINDAKAN</t>
  </si>
  <si>
    <t>JUMLAH KEBUTUHAN</t>
  </si>
  <si>
    <t>ALAT YANG DIGUNAKAN UNTUK TINDAKAN</t>
  </si>
  <si>
    <t>USIA PAKAI</t>
  </si>
  <si>
    <t>1 roll</t>
  </si>
  <si>
    <t>3. Kassa</t>
  </si>
  <si>
    <t>Hanya 1 dokter dan hanya 1 perawat</t>
  </si>
  <si>
    <t xml:space="preserve">Nama Tenaga Kerja Medis/Paramedis </t>
  </si>
  <si>
    <t>Jumlah Gaji setahun</t>
  </si>
  <si>
    <t>Dokter Spesialis</t>
  </si>
  <si>
    <t>Perawat</t>
  </si>
  <si>
    <t>Jumlah</t>
  </si>
  <si>
    <t>Waktu pelayanan selama 1 tahun (dalam satuan menit)</t>
  </si>
  <si>
    <t>1 tahun 250 harri kerja x 6 jam efektif x 60 menit + 48 hari kerja dengan 4 jam efektif kerja karena hari jumat X 60 menit</t>
  </si>
  <si>
    <t>Biaya pegawai per menit</t>
  </si>
  <si>
    <t>Jumlah gaji dalam 1 tahun / waktu pelayanan selama 1 tahun</t>
  </si>
  <si>
    <t>waktu pelayanan primer (menit)</t>
  </si>
  <si>
    <t>Biaya Pegawai Per Satuan Tindakan</t>
  </si>
  <si>
    <t>Biaya Tidak Langsung</t>
  </si>
  <si>
    <t>A</t>
  </si>
  <si>
    <t>Biaya Depresiasi</t>
  </si>
  <si>
    <t>Alat Non Medis</t>
  </si>
  <si>
    <t>B</t>
  </si>
  <si>
    <t>Biaya Operasional</t>
  </si>
  <si>
    <t>BHP Non Medis</t>
  </si>
  <si>
    <t>Biaya Umum</t>
  </si>
  <si>
    <t>Biaya Diklat &amp; Perjalanan Dinas</t>
  </si>
  <si>
    <t>Biaya Lain</t>
  </si>
  <si>
    <t>C</t>
  </si>
  <si>
    <t>Biaya Pemeliharaan</t>
  </si>
  <si>
    <t>*)</t>
  </si>
  <si>
    <t>JUMLAH BTL</t>
  </si>
  <si>
    <t>PEMBEBANAN BIAYA BTL</t>
  </si>
  <si>
    <t>6. Handscoon</t>
  </si>
  <si>
    <t>3 ml</t>
  </si>
  <si>
    <t>Ekstirpasi corpus</t>
  </si>
  <si>
    <t xml:space="preserve">MATA </t>
  </si>
  <si>
    <t>1. pantocain 2%</t>
  </si>
  <si>
    <t xml:space="preserve"> Alat slitlamp kanghua SLR 5300</t>
  </si>
  <si>
    <t>2. Spuit 1 cc</t>
  </si>
  <si>
    <t>Kom kecil</t>
  </si>
  <si>
    <t>4. cutton bud</t>
  </si>
  <si>
    <t>5. betadin</t>
  </si>
  <si>
    <t>10ML</t>
  </si>
  <si>
    <t>8. masker</t>
  </si>
  <si>
    <t>9. plester bening</t>
  </si>
  <si>
    <t>5 cm</t>
  </si>
  <si>
    <t>10. tobroson tetes</t>
  </si>
  <si>
    <t>11. xitrol salep</t>
  </si>
  <si>
    <t>1</t>
  </si>
  <si>
    <t>CONTOH</t>
  </si>
  <si>
    <t>15 Menit</t>
  </si>
  <si>
    <t>= HARGA BELI/ USIA PEMAKAIAN</t>
  </si>
  <si>
    <t>= HARGA PENYUSUTAN X 10%</t>
  </si>
  <si>
    <t>per hari 400</t>
  </si>
  <si>
    <t>=COST+NOMINAL PENYUSUTAN+PEMELIHARAAN ALAT</t>
  </si>
  <si>
    <t>=TOTAL COST / JUMLAH PASIEN DALAM 1 TAHUN</t>
  </si>
  <si>
    <t>= HARGA JUAL x 2%</t>
  </si>
  <si>
    <t>per 25 hari X 400</t>
  </si>
  <si>
    <t>= DIKURANGI DANA SUBSIDI SWDKLLJ</t>
  </si>
  <si>
    <t>per tahun 12 X 1.000</t>
  </si>
  <si>
    <t>HARGA BELI BARANG</t>
  </si>
  <si>
    <t>TANGGAL BELI</t>
  </si>
  <si>
    <t>USIA PEMAKAIAN</t>
  </si>
  <si>
    <t>COST</t>
  </si>
  <si>
    <t>NOMINAL PENYUSUTAN</t>
  </si>
  <si>
    <t>NOMINAL PEMELIHARAAN</t>
  </si>
  <si>
    <t>JUMLAH PEMAKAIAN DALAM 1 TH</t>
  </si>
  <si>
    <t>TOTAL COST</t>
  </si>
  <si>
    <t>PAJAK</t>
  </si>
  <si>
    <t>KENDARAAN</t>
  </si>
  <si>
    <t>SEPEDA MOTOR</t>
  </si>
  <si>
    <t>MOBIL</t>
  </si>
  <si>
    <t>Alat Medis</t>
  </si>
  <si>
    <t>ESTIMASI JUMLAH TINDAKAN DALAM 1 TAHUN</t>
  </si>
  <si>
    <t>BHP MEDIS</t>
  </si>
  <si>
    <t>BIAYA BBM</t>
  </si>
  <si>
    <t xml:space="preserve">Gaji SDM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</si>
</sst>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6" formatCode="_-* #,##0_-;\-* #,##0_-;_-* &quot;-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rgb="FFFFFF00"/>
      </patternFill>
    </fill>
    <fill>
      <patternFill patternType="solid">
        <fgColor indexed="5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164" fontId="5" fillId="0" borderId="0" xfId="1" applyNumberFormat="1" applyFont="1" applyFill="1" applyBorder="1" applyAlignment="1">
      <alignment horizontal="left" vertical="center"/>
    </xf>
    <xf numFmtId="164" fontId="6" fillId="0" borderId="0" xfId="1" applyNumberFormat="1" applyFont="1" applyFill="1" applyBorder="1"/>
    <xf numFmtId="164" fontId="5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0" xfId="0" applyFont="1"/>
    <xf numFmtId="164" fontId="6" fillId="0" borderId="1" xfId="1" applyNumberFormat="1" applyFont="1" applyFill="1" applyBorder="1"/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1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164" fontId="9" fillId="0" borderId="1" xfId="1" applyNumberFormat="1" applyFont="1" applyBorder="1" applyAlignment="1">
      <alignment horizontal="center"/>
    </xf>
    <xf numFmtId="0" fontId="9" fillId="0" borderId="3" xfId="0" applyFont="1" applyBorder="1"/>
    <xf numFmtId="164" fontId="9" fillId="0" borderId="3" xfId="1" applyNumberFormat="1" applyFont="1" applyBorder="1" applyAlignment="1">
      <alignment horizontal="center"/>
    </xf>
    <xf numFmtId="41" fontId="3" fillId="0" borderId="0" xfId="0" applyNumberFormat="1" applyFont="1"/>
    <xf numFmtId="164" fontId="2" fillId="4" borderId="6" xfId="1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41" fontId="3" fillId="0" borderId="0" xfId="2" applyFont="1"/>
    <xf numFmtId="43" fontId="3" fillId="0" borderId="0" xfId="0" applyNumberFormat="1" applyFont="1"/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1" fontId="13" fillId="0" borderId="1" xfId="2" applyFont="1" applyBorder="1"/>
    <xf numFmtId="41" fontId="9" fillId="0" borderId="1" xfId="2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64" fontId="6" fillId="0" borderId="1" xfId="1" applyNumberFormat="1" applyFont="1" applyFill="1" applyBorder="1" applyAlignment="1">
      <alignment horizontal="left"/>
    </xf>
    <xf numFmtId="16" fontId="6" fillId="0" borderId="1" xfId="0" quotePrefix="1" applyNumberFormat="1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7" fillId="5" borderId="0" xfId="0" applyFont="1" applyFill="1"/>
    <xf numFmtId="0" fontId="1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0" xfId="4" applyFont="1"/>
    <xf numFmtId="166" fontId="0" fillId="0" borderId="0" xfId="0" applyNumberFormat="1"/>
    <xf numFmtId="0" fontId="14" fillId="0" borderId="0" xfId="0" quotePrefix="1" applyFont="1" applyAlignment="1">
      <alignment horizontal="left" wrapText="1"/>
    </xf>
    <xf numFmtId="0" fontId="14" fillId="0" borderId="0" xfId="0" quotePrefix="1" applyFont="1" applyAlignment="1">
      <alignment horizontal="left" vertical="top" wrapText="1"/>
    </xf>
    <xf numFmtId="0" fontId="14" fillId="0" borderId="0" xfId="0" quotePrefix="1" applyFont="1" applyAlignment="1">
      <alignment horizontal="center" wrapText="1"/>
    </xf>
    <xf numFmtId="166" fontId="14" fillId="0" borderId="0" xfId="4" quotePrefix="1" applyFont="1"/>
    <xf numFmtId="0" fontId="14" fillId="0" borderId="1" xfId="0" applyFont="1" applyBorder="1" applyAlignment="1">
      <alignment horizontal="center" vertical="center" wrapText="1"/>
    </xf>
    <xf numFmtId="166" fontId="14" fillId="0" borderId="1" xfId="4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164" fontId="0" fillId="0" borderId="1" xfId="1" applyNumberFormat="1" applyFont="1" applyFill="1" applyBorder="1"/>
    <xf numFmtId="166" fontId="0" fillId="0" borderId="1" xfId="4" applyFont="1" applyBorder="1"/>
    <xf numFmtId="166" fontId="0" fillId="0" borderId="1" xfId="0" applyNumberFormat="1" applyBorder="1"/>
    <xf numFmtId="43" fontId="0" fillId="0" borderId="1" xfId="1" applyFont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/>
    </xf>
  </cellXfs>
  <cellStyles count="5">
    <cellStyle name="Comma" xfId="1" builtinId="3"/>
    <cellStyle name="Comma [0]" xfId="2" builtinId="6"/>
    <cellStyle name="Comma [0] 2" xfId="4" xr:uid="{318E277E-A6C6-4947-A428-EBA618A1F8E1}"/>
    <cellStyle name="Comma 2" xfId="3" xr:uid="{2A47242C-AEB6-43CD-AB57-2A1A76EFC55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53AA-991F-471B-9AD6-C617B8B60B9F}">
  <dimension ref="A1:C40"/>
  <sheetViews>
    <sheetView workbookViewId="0">
      <selection activeCell="G11" sqref="G11"/>
    </sheetView>
  </sheetViews>
  <sheetFormatPr defaultRowHeight="14.5" x14ac:dyDescent="0.35"/>
  <cols>
    <col min="2" max="2" width="48.6328125" bestFit="1" customWidth="1"/>
    <col min="3" max="3" width="11.90625" customWidth="1"/>
  </cols>
  <sheetData>
    <row r="1" spans="1:3" s="4" customFormat="1" ht="14" x14ac:dyDescent="0.3">
      <c r="A1" s="3" t="s">
        <v>3</v>
      </c>
    </row>
    <row r="2" spans="1:3" s="5" customFormat="1" ht="14.5" customHeight="1" x14ac:dyDescent="0.3">
      <c r="A2" s="67" t="s">
        <v>1</v>
      </c>
      <c r="B2" s="7" t="s">
        <v>26</v>
      </c>
      <c r="C2" s="68" t="s">
        <v>19</v>
      </c>
    </row>
    <row r="3" spans="1:3" s="6" customFormat="1" ht="14" x14ac:dyDescent="0.3">
      <c r="A3" s="67" t="s">
        <v>27</v>
      </c>
      <c r="B3" s="7" t="s">
        <v>28</v>
      </c>
      <c r="C3" s="69"/>
    </row>
    <row r="4" spans="1:3" s="4" customFormat="1" ht="14" x14ac:dyDescent="0.3">
      <c r="A4" s="70">
        <v>1</v>
      </c>
      <c r="B4" s="17" t="s">
        <v>78</v>
      </c>
      <c r="C4" s="17"/>
    </row>
    <row r="5" spans="1:3" s="4" customFormat="1" ht="14" x14ac:dyDescent="0.3">
      <c r="A5" s="70">
        <v>2</v>
      </c>
      <c r="B5" s="17" t="s">
        <v>29</v>
      </c>
      <c r="C5" s="17"/>
    </row>
    <row r="6" spans="1:3" s="4" customFormat="1" ht="14" x14ac:dyDescent="0.3">
      <c r="A6" s="70">
        <v>3</v>
      </c>
      <c r="B6" s="17" t="s">
        <v>81</v>
      </c>
      <c r="C6" s="17"/>
    </row>
    <row r="7" spans="1:3" s="4" customFormat="1" ht="14" x14ac:dyDescent="0.3">
      <c r="A7" s="67" t="s">
        <v>30</v>
      </c>
      <c r="B7" s="7" t="s">
        <v>31</v>
      </c>
      <c r="C7" s="7"/>
    </row>
    <row r="8" spans="1:3" s="4" customFormat="1" ht="14" x14ac:dyDescent="0.3">
      <c r="A8" s="70">
        <v>1</v>
      </c>
      <c r="B8" s="17" t="s">
        <v>85</v>
      </c>
      <c r="C8" s="17"/>
    </row>
    <row r="9" spans="1:3" s="4" customFormat="1" ht="14" x14ac:dyDescent="0.3">
      <c r="A9" s="70"/>
      <c r="B9" s="17"/>
      <c r="C9" s="17"/>
    </row>
    <row r="10" spans="1:3" s="4" customFormat="1" ht="14" x14ac:dyDescent="0.3">
      <c r="A10" s="70"/>
      <c r="B10" s="17"/>
      <c r="C10" s="17"/>
    </row>
    <row r="11" spans="1:3" s="4" customFormat="1" ht="14" x14ac:dyDescent="0.3">
      <c r="A11" s="70"/>
      <c r="B11" s="17"/>
      <c r="C11" s="17"/>
    </row>
    <row r="12" spans="1:3" s="4" customFormat="1" ht="14" x14ac:dyDescent="0.3">
      <c r="A12" s="70">
        <v>2</v>
      </c>
      <c r="B12" s="17" t="s">
        <v>32</v>
      </c>
      <c r="C12" s="17"/>
    </row>
    <row r="13" spans="1:3" s="4" customFormat="1" ht="14" x14ac:dyDescent="0.3">
      <c r="A13" s="70"/>
      <c r="B13" s="17"/>
      <c r="C13" s="17"/>
    </row>
    <row r="14" spans="1:3" s="4" customFormat="1" ht="14" x14ac:dyDescent="0.3">
      <c r="A14" s="70"/>
      <c r="B14" s="17"/>
      <c r="C14" s="17"/>
    </row>
    <row r="15" spans="1:3" s="4" customFormat="1" ht="14" x14ac:dyDescent="0.3">
      <c r="A15" s="70"/>
      <c r="B15" s="17"/>
      <c r="C15" s="17"/>
    </row>
    <row r="16" spans="1:3" s="4" customFormat="1" ht="14" x14ac:dyDescent="0.3">
      <c r="A16" s="70">
        <v>3</v>
      </c>
      <c r="B16" s="17" t="s">
        <v>83</v>
      </c>
      <c r="C16" s="17"/>
    </row>
    <row r="17" spans="1:3" s="4" customFormat="1" ht="14" x14ac:dyDescent="0.3">
      <c r="A17" s="70"/>
      <c r="B17" s="17"/>
      <c r="C17" s="17"/>
    </row>
    <row r="18" spans="1:3" s="4" customFormat="1" ht="14" x14ac:dyDescent="0.3">
      <c r="A18" s="70"/>
      <c r="B18" s="17"/>
      <c r="C18" s="17"/>
    </row>
    <row r="19" spans="1:3" s="4" customFormat="1" ht="14" x14ac:dyDescent="0.3">
      <c r="A19" s="70"/>
      <c r="B19" s="17"/>
      <c r="C19" s="17"/>
    </row>
    <row r="20" spans="1:3" s="4" customFormat="1" ht="14" x14ac:dyDescent="0.3">
      <c r="A20" s="70">
        <v>4</v>
      </c>
      <c r="B20" s="17" t="s">
        <v>33</v>
      </c>
      <c r="C20" s="17"/>
    </row>
    <row r="21" spans="1:3" s="4" customFormat="1" ht="14" x14ac:dyDescent="0.3">
      <c r="A21" s="70"/>
      <c r="B21" s="17"/>
      <c r="C21" s="17"/>
    </row>
    <row r="22" spans="1:3" s="4" customFormat="1" ht="14" x14ac:dyDescent="0.3">
      <c r="A22" s="70"/>
      <c r="B22" s="17"/>
      <c r="C22" s="17"/>
    </row>
    <row r="23" spans="1:3" s="4" customFormat="1" ht="14" x14ac:dyDescent="0.3">
      <c r="A23" s="70"/>
      <c r="B23" s="17"/>
      <c r="C23" s="17"/>
    </row>
    <row r="24" spans="1:3" s="4" customFormat="1" ht="14" x14ac:dyDescent="0.3">
      <c r="A24" s="70">
        <v>5</v>
      </c>
      <c r="B24" s="17" t="s">
        <v>34</v>
      </c>
      <c r="C24" s="17"/>
    </row>
    <row r="25" spans="1:3" s="4" customFormat="1" ht="14" x14ac:dyDescent="0.3">
      <c r="A25" s="70"/>
      <c r="B25" s="17"/>
      <c r="C25" s="17"/>
    </row>
    <row r="26" spans="1:3" s="4" customFormat="1" ht="14" x14ac:dyDescent="0.3">
      <c r="A26" s="70"/>
      <c r="B26" s="17"/>
      <c r="C26" s="17"/>
    </row>
    <row r="27" spans="1:3" s="4" customFormat="1" ht="14" x14ac:dyDescent="0.3">
      <c r="A27" s="70"/>
      <c r="B27" s="17"/>
      <c r="C27" s="17"/>
    </row>
    <row r="28" spans="1:3" s="4" customFormat="1" ht="14" x14ac:dyDescent="0.3">
      <c r="A28" s="70"/>
      <c r="B28" s="17"/>
      <c r="C28" s="17"/>
    </row>
    <row r="29" spans="1:3" s="4" customFormat="1" ht="14" x14ac:dyDescent="0.3">
      <c r="A29" s="70">
        <v>6</v>
      </c>
      <c r="B29" s="17" t="s">
        <v>84</v>
      </c>
      <c r="C29" s="17"/>
    </row>
    <row r="30" spans="1:3" s="4" customFormat="1" ht="14" x14ac:dyDescent="0.3">
      <c r="A30" s="70"/>
      <c r="B30" s="17"/>
      <c r="C30" s="17"/>
    </row>
    <row r="31" spans="1:3" s="4" customFormat="1" ht="14" x14ac:dyDescent="0.3">
      <c r="A31" s="70"/>
      <c r="B31" s="17"/>
      <c r="C31" s="17"/>
    </row>
    <row r="32" spans="1:3" s="4" customFormat="1" ht="14" x14ac:dyDescent="0.3">
      <c r="A32" s="70"/>
      <c r="B32" s="17"/>
      <c r="C32" s="17"/>
    </row>
    <row r="33" spans="1:3" s="4" customFormat="1" ht="14" x14ac:dyDescent="0.3">
      <c r="A33" s="70"/>
      <c r="B33" s="17"/>
      <c r="C33" s="17"/>
    </row>
    <row r="34" spans="1:3" s="4" customFormat="1" ht="14" x14ac:dyDescent="0.3">
      <c r="A34" s="70">
        <v>7</v>
      </c>
      <c r="B34" s="17" t="s">
        <v>35</v>
      </c>
      <c r="C34" s="17"/>
    </row>
    <row r="35" spans="1:3" s="4" customFormat="1" ht="14" x14ac:dyDescent="0.3">
      <c r="A35" s="70"/>
      <c r="B35" s="17"/>
      <c r="C35" s="17"/>
    </row>
    <row r="36" spans="1:3" s="4" customFormat="1" ht="14" x14ac:dyDescent="0.3">
      <c r="A36" s="67" t="s">
        <v>36</v>
      </c>
      <c r="B36" s="7" t="s">
        <v>37</v>
      </c>
      <c r="C36" s="7">
        <v>0</v>
      </c>
    </row>
    <row r="37" spans="1:3" s="4" customFormat="1" ht="14" x14ac:dyDescent="0.3">
      <c r="A37" s="70"/>
      <c r="B37" s="17"/>
      <c r="C37" s="17"/>
    </row>
    <row r="38" spans="1:3" s="4" customFormat="1" ht="14" x14ac:dyDescent="0.3">
      <c r="A38" s="70" t="s">
        <v>38</v>
      </c>
      <c r="B38" s="17" t="s">
        <v>39</v>
      </c>
      <c r="C38" s="17"/>
    </row>
    <row r="39" spans="1:3" s="4" customFormat="1" ht="14" x14ac:dyDescent="0.3">
      <c r="A39" s="70" t="s">
        <v>38</v>
      </c>
      <c r="B39" s="17" t="s">
        <v>82</v>
      </c>
      <c r="C39" s="17"/>
    </row>
    <row r="40" spans="1:3" s="4" customFormat="1" ht="14" x14ac:dyDescent="0.3">
      <c r="A40" s="70" t="s">
        <v>38</v>
      </c>
      <c r="B40" s="17" t="s">
        <v>40</v>
      </c>
      <c r="C40" s="17" t="e">
        <f>C38/C39</f>
        <v>#DIV/0!</v>
      </c>
    </row>
  </sheetData>
  <mergeCells count="1">
    <mergeCell ref="C2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BC90-7FF3-422F-ABEC-49925E478A3E}">
  <dimension ref="A1:F11"/>
  <sheetViews>
    <sheetView workbookViewId="0">
      <selection activeCell="D15" sqref="D15"/>
    </sheetView>
  </sheetViews>
  <sheetFormatPr defaultColWidth="9.1796875" defaultRowHeight="14" x14ac:dyDescent="0.3"/>
  <cols>
    <col min="1" max="1" width="5.1796875" style="23" customWidth="1"/>
    <col min="2" max="2" width="42.1796875" style="23" customWidth="1"/>
    <col min="3" max="3" width="25.1796875" style="24" bestFit="1" customWidth="1"/>
    <col min="4" max="4" width="20.1796875" style="23" customWidth="1"/>
    <col min="5" max="5" width="8.453125" style="23" customWidth="1"/>
    <col min="6" max="6" width="45.453125" style="23" bestFit="1" customWidth="1"/>
    <col min="7" max="16384" width="9.1796875" style="23"/>
  </cols>
  <sheetData>
    <row r="1" spans="1:6" x14ac:dyDescent="0.3">
      <c r="A1" s="22" t="s">
        <v>14</v>
      </c>
    </row>
    <row r="2" spans="1:6" x14ac:dyDescent="0.3">
      <c r="A2" s="25" t="s">
        <v>1</v>
      </c>
      <c r="B2" s="25" t="s">
        <v>15</v>
      </c>
      <c r="C2" s="25" t="s">
        <v>16</v>
      </c>
    </row>
    <row r="3" spans="1:6" x14ac:dyDescent="0.3">
      <c r="A3" s="26">
        <v>1</v>
      </c>
      <c r="B3" s="9" t="s">
        <v>17</v>
      </c>
      <c r="C3" s="27"/>
    </row>
    <row r="4" spans="1:6" x14ac:dyDescent="0.3">
      <c r="A4" s="26">
        <v>2</v>
      </c>
      <c r="B4" s="28" t="s">
        <v>18</v>
      </c>
      <c r="C4" s="29"/>
      <c r="D4" s="30"/>
    </row>
    <row r="5" spans="1:6" s="22" customFormat="1" x14ac:dyDescent="0.3">
      <c r="A5" s="46" t="s">
        <v>19</v>
      </c>
      <c r="B5" s="47"/>
      <c r="C5" s="31">
        <f>SUM(C3:C4)</f>
        <v>0</v>
      </c>
    </row>
    <row r="6" spans="1:6" x14ac:dyDescent="0.3">
      <c r="A6" s="32"/>
      <c r="B6" s="32"/>
    </row>
    <row r="7" spans="1:6" x14ac:dyDescent="0.3">
      <c r="B7" s="23" t="s">
        <v>20</v>
      </c>
      <c r="C7" s="33">
        <f>(250*6*60)+(48*4*60)</f>
        <v>101520</v>
      </c>
      <c r="D7" s="23" t="s">
        <v>21</v>
      </c>
      <c r="E7" s="24"/>
      <c r="F7" s="30"/>
    </row>
    <row r="8" spans="1:6" x14ac:dyDescent="0.3">
      <c r="B8" s="23" t="s">
        <v>22</v>
      </c>
      <c r="C8" s="33">
        <f>C5/C7</f>
        <v>0</v>
      </c>
      <c r="D8" s="23" t="s">
        <v>23</v>
      </c>
      <c r="E8" s="24"/>
      <c r="F8" s="30"/>
    </row>
    <row r="9" spans="1:6" x14ac:dyDescent="0.3">
      <c r="E9" s="24"/>
      <c r="F9" s="34"/>
    </row>
    <row r="10" spans="1:6" s="36" customFormat="1" ht="28" x14ac:dyDescent="0.3">
      <c r="A10" s="35" t="s">
        <v>1</v>
      </c>
      <c r="B10" s="35" t="s">
        <v>2</v>
      </c>
      <c r="C10" s="35" t="s">
        <v>24</v>
      </c>
      <c r="D10" s="8" t="s">
        <v>25</v>
      </c>
    </row>
    <row r="11" spans="1:6" x14ac:dyDescent="0.3">
      <c r="A11" s="2">
        <v>1</v>
      </c>
      <c r="B11" s="1" t="str">
        <f>BMHP!$B$2</f>
        <v>Ekstirpasi corpus</v>
      </c>
      <c r="C11" s="37">
        <v>15</v>
      </c>
      <c r="D11" s="38">
        <f t="shared" ref="D11" si="0">C$8*C11</f>
        <v>0</v>
      </c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391B-DE43-44DD-B507-E823277850C5}">
  <dimension ref="A1:H11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defaultRowHeight="14.5" x14ac:dyDescent="0.35"/>
  <cols>
    <col min="1" max="1" width="12.36328125" customWidth="1"/>
    <col min="2" max="2" width="17" style="19" customWidth="1"/>
    <col min="3" max="3" width="17.6328125" style="20" customWidth="1"/>
    <col min="4" max="4" width="28.81640625" style="20" customWidth="1"/>
    <col min="5" max="5" width="25.6328125" style="16" customWidth="1"/>
    <col min="6" max="6" width="17" style="20" customWidth="1"/>
    <col min="7" max="7" width="29.08984375" style="16" customWidth="1"/>
    <col min="8" max="8" width="10.08984375" style="21" customWidth="1"/>
  </cols>
  <sheetData>
    <row r="1" spans="1:8" s="13" customFormat="1" ht="26" x14ac:dyDescent="0.25">
      <c r="B1" s="10" t="s">
        <v>5</v>
      </c>
      <c r="C1" s="11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2" t="s">
        <v>11</v>
      </c>
    </row>
    <row r="2" spans="1:8" s="16" customFormat="1" ht="16" customHeight="1" x14ac:dyDescent="0.3">
      <c r="A2" s="48" t="s">
        <v>58</v>
      </c>
      <c r="B2" s="42" t="s">
        <v>43</v>
      </c>
      <c r="C2" s="43" t="s">
        <v>44</v>
      </c>
      <c r="D2" s="14" t="s">
        <v>59</v>
      </c>
      <c r="E2" s="42" t="s">
        <v>45</v>
      </c>
      <c r="F2" s="43" t="s">
        <v>42</v>
      </c>
      <c r="G2" s="41" t="s">
        <v>46</v>
      </c>
      <c r="H2" s="17">
        <v>4</v>
      </c>
    </row>
    <row r="3" spans="1:8" s="16" customFormat="1" ht="16" customHeight="1" x14ac:dyDescent="0.3">
      <c r="B3" s="42"/>
      <c r="C3" s="43"/>
      <c r="D3" s="14"/>
      <c r="E3" s="42" t="s">
        <v>47</v>
      </c>
      <c r="F3" s="43">
        <v>1</v>
      </c>
      <c r="G3" s="42" t="s">
        <v>48</v>
      </c>
      <c r="H3" s="44">
        <v>1</v>
      </c>
    </row>
    <row r="4" spans="1:8" s="16" customFormat="1" ht="16" customHeight="1" x14ac:dyDescent="0.3">
      <c r="B4" s="42"/>
      <c r="C4" s="43"/>
      <c r="D4" s="14"/>
      <c r="E4" s="15" t="s">
        <v>13</v>
      </c>
      <c r="F4" s="14" t="s">
        <v>12</v>
      </c>
      <c r="G4" s="42"/>
      <c r="H4" s="44"/>
    </row>
    <row r="5" spans="1:8" s="16" customFormat="1" ht="16" customHeight="1" x14ac:dyDescent="0.3">
      <c r="B5" s="42"/>
      <c r="C5" s="43"/>
      <c r="D5" s="14"/>
      <c r="E5" s="42" t="s">
        <v>49</v>
      </c>
      <c r="F5" s="43">
        <v>8</v>
      </c>
      <c r="G5" s="42"/>
      <c r="H5" s="44"/>
    </row>
    <row r="6" spans="1:8" s="16" customFormat="1" ht="16" customHeight="1" x14ac:dyDescent="0.3">
      <c r="B6" s="42"/>
      <c r="C6" s="43"/>
      <c r="D6" s="14"/>
      <c r="E6" s="42" t="s">
        <v>50</v>
      </c>
      <c r="F6" s="14" t="s">
        <v>51</v>
      </c>
      <c r="G6" s="42"/>
      <c r="H6" s="44"/>
    </row>
    <row r="7" spans="1:8" s="16" customFormat="1" ht="16" customHeight="1" x14ac:dyDescent="0.3">
      <c r="B7" s="42"/>
      <c r="C7" s="43"/>
      <c r="D7" s="14"/>
      <c r="E7" s="42" t="s">
        <v>41</v>
      </c>
      <c r="F7" s="14">
        <v>2</v>
      </c>
      <c r="G7" s="42"/>
      <c r="H7" s="44"/>
    </row>
    <row r="8" spans="1:8" s="16" customFormat="1" ht="16" customHeight="1" x14ac:dyDescent="0.3">
      <c r="B8" s="42"/>
      <c r="C8" s="43"/>
      <c r="D8" s="14"/>
      <c r="E8" s="42" t="s">
        <v>52</v>
      </c>
      <c r="F8" s="18">
        <v>1</v>
      </c>
      <c r="G8" s="42"/>
      <c r="H8" s="44"/>
    </row>
    <row r="9" spans="1:8" s="16" customFormat="1" ht="16" customHeight="1" x14ac:dyDescent="0.3">
      <c r="B9" s="42"/>
      <c r="C9" s="43"/>
      <c r="D9" s="14"/>
      <c r="E9" s="42" t="s">
        <v>53</v>
      </c>
      <c r="F9" s="43" t="s">
        <v>54</v>
      </c>
      <c r="G9" s="42"/>
      <c r="H9" s="44"/>
    </row>
    <row r="10" spans="1:8" s="16" customFormat="1" ht="16" customHeight="1" x14ac:dyDescent="0.3">
      <c r="B10" s="42"/>
      <c r="C10" s="43"/>
      <c r="D10" s="14"/>
      <c r="E10" s="42" t="s">
        <v>55</v>
      </c>
      <c r="F10" s="43">
        <v>1</v>
      </c>
      <c r="G10" s="42"/>
      <c r="H10" s="44"/>
    </row>
    <row r="11" spans="1:8" s="16" customFormat="1" ht="16" customHeight="1" x14ac:dyDescent="0.3">
      <c r="B11" s="42"/>
      <c r="C11" s="43"/>
      <c r="D11" s="14"/>
      <c r="E11" s="42" t="s">
        <v>56</v>
      </c>
      <c r="F11" s="45" t="s">
        <v>57</v>
      </c>
      <c r="G11" s="42"/>
      <c r="H11" s="4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333F-4B30-440E-BC7A-4DCBDB266F40}">
  <dimension ref="A1:L7"/>
  <sheetViews>
    <sheetView tabSelected="1" workbookViewId="0">
      <selection activeCell="I13" sqref="I13"/>
    </sheetView>
  </sheetViews>
  <sheetFormatPr defaultRowHeight="14.5" x14ac:dyDescent="0.35"/>
  <cols>
    <col min="1" max="1" width="3.81640625" bestFit="1" customWidth="1"/>
    <col min="2" max="2" width="26.7265625" customWidth="1"/>
    <col min="3" max="3" width="19.81640625" bestFit="1" customWidth="1"/>
    <col min="4" max="4" width="13.81640625" bestFit="1" customWidth="1"/>
    <col min="5" max="5" width="16.81640625" bestFit="1" customWidth="1"/>
    <col min="6" max="6" width="11" style="52" bestFit="1" customWidth="1"/>
    <col min="7" max="7" width="15.453125" customWidth="1"/>
    <col min="8" max="8" width="13.26953125" customWidth="1"/>
    <col min="9" max="9" width="17.7265625" customWidth="1"/>
    <col min="10" max="10" width="21" customWidth="1"/>
    <col min="11" max="11" width="22.81640625" customWidth="1"/>
  </cols>
  <sheetData>
    <row r="1" spans="1:12" x14ac:dyDescent="0.35">
      <c r="A1" s="50"/>
      <c r="G1" s="54" t="s">
        <v>60</v>
      </c>
      <c r="H1" s="55" t="s">
        <v>61</v>
      </c>
      <c r="I1" s="49" t="s">
        <v>62</v>
      </c>
      <c r="J1" s="56" t="s">
        <v>63</v>
      </c>
      <c r="K1" s="56" t="s">
        <v>64</v>
      </c>
    </row>
    <row r="2" spans="1:12" x14ac:dyDescent="0.35">
      <c r="A2" s="50"/>
      <c r="F2" s="57" t="s">
        <v>65</v>
      </c>
      <c r="G2" s="54"/>
      <c r="H2" s="55"/>
      <c r="I2" s="49" t="s">
        <v>66</v>
      </c>
      <c r="J2" s="56"/>
      <c r="K2" s="56"/>
    </row>
    <row r="3" spans="1:12" x14ac:dyDescent="0.35">
      <c r="A3" s="50"/>
      <c r="F3" s="57" t="s">
        <v>67</v>
      </c>
      <c r="G3" s="54"/>
      <c r="H3" s="55"/>
      <c r="I3" s="49" t="s">
        <v>68</v>
      </c>
      <c r="J3" s="56"/>
      <c r="K3" s="56"/>
    </row>
    <row r="4" spans="1:12" s="61" customFormat="1" x14ac:dyDescent="0.35">
      <c r="A4" s="58" t="s">
        <v>4</v>
      </c>
      <c r="B4" s="58" t="s">
        <v>78</v>
      </c>
      <c r="C4" s="58" t="s">
        <v>69</v>
      </c>
      <c r="D4" s="58" t="s">
        <v>70</v>
      </c>
      <c r="E4" s="58" t="s">
        <v>71</v>
      </c>
      <c r="F4" s="59" t="s">
        <v>72</v>
      </c>
      <c r="G4" s="58" t="s">
        <v>73</v>
      </c>
      <c r="H4" s="58" t="s">
        <v>74</v>
      </c>
      <c r="I4" s="58" t="s">
        <v>75</v>
      </c>
      <c r="J4" s="60" t="s">
        <v>76</v>
      </c>
      <c r="K4" s="58" t="s">
        <v>0</v>
      </c>
    </row>
    <row r="5" spans="1:12" s="61" customFormat="1" x14ac:dyDescent="0.35">
      <c r="A5" s="58"/>
      <c r="B5" s="58"/>
      <c r="C5" s="58"/>
      <c r="D5" s="58"/>
      <c r="E5" s="58"/>
      <c r="F5" s="59" t="s">
        <v>77</v>
      </c>
      <c r="G5" s="58"/>
      <c r="H5" s="58"/>
      <c r="I5" s="58"/>
      <c r="J5" s="62"/>
      <c r="K5" s="58"/>
    </row>
    <row r="6" spans="1:12" x14ac:dyDescent="0.35">
      <c r="A6" s="51">
        <v>1</v>
      </c>
      <c r="B6" s="39" t="s">
        <v>79</v>
      </c>
      <c r="C6" s="63"/>
      <c r="D6" s="51"/>
      <c r="E6" s="39"/>
      <c r="F6" s="64"/>
      <c r="G6" s="40"/>
      <c r="H6" s="65"/>
      <c r="I6" s="66"/>
      <c r="J6" s="40"/>
      <c r="K6" s="40"/>
      <c r="L6" s="53"/>
    </row>
    <row r="7" spans="1:12" x14ac:dyDescent="0.35">
      <c r="A7" s="51">
        <v>2</v>
      </c>
      <c r="B7" s="39" t="s">
        <v>80</v>
      </c>
      <c r="C7" s="40"/>
      <c r="D7" s="39"/>
      <c r="E7" s="39"/>
      <c r="F7" s="64"/>
      <c r="G7" s="39"/>
      <c r="H7" s="39"/>
      <c r="I7" s="39"/>
      <c r="J7" s="39"/>
      <c r="K7" s="39"/>
      <c r="L7" s="53"/>
    </row>
  </sheetData>
  <mergeCells count="14">
    <mergeCell ref="E4:E5"/>
    <mergeCell ref="G4:G5"/>
    <mergeCell ref="H4:H5"/>
    <mergeCell ref="I4:I5"/>
    <mergeCell ref="J4:J5"/>
    <mergeCell ref="K4:K5"/>
    <mergeCell ref="G1:G3"/>
    <mergeCell ref="H1:H3"/>
    <mergeCell ref="J1:J3"/>
    <mergeCell ref="K1:K3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BIAYA TAK LANGSUNG</vt:lpstr>
      <vt:lpstr>PEGAWAI</vt:lpstr>
      <vt:lpstr>BMHP</vt:lpstr>
      <vt:lpstr>KENDARAAN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2023-10-23T08:02:13Z</dcterms:created>
  <dcterms:modified xsi:type="dcterms:W3CDTF">2025-01-03T08:17:08Z</dcterms:modified>
</cp:coreProperties>
</file>