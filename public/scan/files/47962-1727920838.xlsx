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5CD8CC7-EB6A-4BE9-A49D-DB9B6F4E01F0}" xr6:coauthVersionLast="47" xr6:coauthVersionMax="47" xr10:uidLastSave="{00000000-0000-0000-0000-000000000000}"/>
  <bookViews>
    <workbookView xWindow="-120" yWindow="-120" windowWidth="20730" windowHeight="11160" xr2:uid="{F2CA6BD4-B654-4C6A-97DD-A34FB8444A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H5" i="1"/>
  <c r="I5" i="1" s="1"/>
  <c r="H6" i="1"/>
  <c r="I6" i="1" s="1"/>
  <c r="H7" i="1"/>
  <c r="I7" i="1" s="1"/>
  <c r="H8" i="1"/>
  <c r="I8" i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" i="1"/>
  <c r="I3" i="1" s="1"/>
  <c r="I33" i="1" s="1"/>
</calcChain>
</file>

<file path=xl/sharedStrings.xml><?xml version="1.0" encoding="utf-8"?>
<sst xmlns="http://schemas.openxmlformats.org/spreadsheetml/2006/main" count="97" uniqueCount="68">
  <si>
    <t>NO</t>
  </si>
  <si>
    <t>JUMLAH</t>
  </si>
  <si>
    <t>SATUAN</t>
  </si>
  <si>
    <t>ALPARA</t>
  </si>
  <si>
    <t>TAB</t>
  </si>
  <si>
    <t>AMLODIPIN 10 MG - HEXPHARM JAYA</t>
  </si>
  <si>
    <t>AMOXICILLIN 500 MG - HEXPHARM JAYA</t>
  </si>
  <si>
    <t>ASAM MEFENAMAT 500 MG - MERSI</t>
  </si>
  <si>
    <t>COTRIMOXAZOLE 480 MG - OGB PROMED</t>
  </si>
  <si>
    <t xml:space="preserve">CIMETIDIN 200 MG </t>
  </si>
  <si>
    <t>DEMACOLIN 500 MG</t>
  </si>
  <si>
    <t>DEXAMETHASONE 0,5 MG - OGB PROMED</t>
  </si>
  <si>
    <t>DOMPERIDONE 10 MG - HEXPHARM JAYA</t>
  </si>
  <si>
    <t xml:space="preserve">LOPERAMIDE 2 MG </t>
  </si>
  <si>
    <t>MULTIVITAMIN</t>
  </si>
  <si>
    <t>OMEPRAZOLE 20 MG</t>
  </si>
  <si>
    <t>PARACETAMOL 500 MG</t>
  </si>
  <si>
    <t xml:space="preserve">AMLODIPIN 10 MG </t>
  </si>
  <si>
    <t xml:space="preserve">AMOXICILLIN 500 MG </t>
  </si>
  <si>
    <t>ASAM MEFENAMAT 500 MG</t>
  </si>
  <si>
    <t xml:space="preserve">COTRIMOXAZOLE 480 MG </t>
  </si>
  <si>
    <t xml:space="preserve">DEXAMETHASONE 0,5 MG </t>
  </si>
  <si>
    <t xml:space="preserve">DOMPERIDONE 10 MG </t>
  </si>
  <si>
    <t>NATRIUM DIKLOFENAK 50 MG</t>
  </si>
  <si>
    <t>SALBUTAMOL 4 MG</t>
  </si>
  <si>
    <t>LIDOCAINE HCL 2%</t>
  </si>
  <si>
    <t>RANITIDIN INJ</t>
  </si>
  <si>
    <t>DEXAMETHASONE INJ</t>
  </si>
  <si>
    <t>SAGESTAM INJ</t>
  </si>
  <si>
    <t>MICONAZOLE NITRAT 2%</t>
  </si>
  <si>
    <t>ACYCLOVIR</t>
  </si>
  <si>
    <t>SALEP 2-4</t>
  </si>
  <si>
    <t>OXYCAN</t>
  </si>
  <si>
    <t>CUT GUT PLAIN 2/0 + JARUM</t>
  </si>
  <si>
    <t>DISPOSIBLE SYRINGE 3 CC</t>
  </si>
  <si>
    <t>ALKOHOL SWAB</t>
  </si>
  <si>
    <t>IV CATH 22 G</t>
  </si>
  <si>
    <t>INFUS SET</t>
  </si>
  <si>
    <t>CAIRAN INF RL 500 ML</t>
  </si>
  <si>
    <t>PULAREX (ATTAPULGITE)</t>
  </si>
  <si>
    <t>NATRIUM DIKLOFENAK 50 MG - PHAPROS</t>
  </si>
  <si>
    <t>OMEPRAZOLE 20 MG - HEXPHARM JAYA</t>
  </si>
  <si>
    <t>PARACETAMOL 500 MG - MERSI</t>
  </si>
  <si>
    <t>DEXANTA TAB</t>
  </si>
  <si>
    <t>ELKANA</t>
  </si>
  <si>
    <t>ACYCLOVIR CR -FM</t>
  </si>
  <si>
    <t>SPUIT 3CC - GIDCARE</t>
  </si>
  <si>
    <t>ALCOHOL SWAB - ONEMED</t>
  </si>
  <si>
    <t>IV CANNULA NO 22G - HOSPITECH</t>
  </si>
  <si>
    <t>INFUSION SET DEWASA Y SET - OTSUKA</t>
  </si>
  <si>
    <t>CAIRAN INF RL 500 ML - OTSUKA</t>
  </si>
  <si>
    <t>PROMAG</t>
  </si>
  <si>
    <t>SALBUTAMOL 2 MG</t>
  </si>
  <si>
    <t>AMP</t>
  </si>
  <si>
    <t>TUBE</t>
  </si>
  <si>
    <t>FLS</t>
  </si>
  <si>
    <t>PCS</t>
  </si>
  <si>
    <t>TOTAL</t>
  </si>
  <si>
    <t xml:space="preserve">HNA </t>
  </si>
  <si>
    <t>DISC</t>
  </si>
  <si>
    <t>HPP</t>
  </si>
  <si>
    <t>NOVACOLIN TAB</t>
  </si>
  <si>
    <t>LIDOCAINE HCL 2% - IPHA</t>
  </si>
  <si>
    <t>RANITIDIN INJ - PHAPROS</t>
  </si>
  <si>
    <t>DEXAMETHASONE INJ - PHAPROS</t>
  </si>
  <si>
    <t>NAMA PRODUK (PERMINTAAN)</t>
  </si>
  <si>
    <t>KETERSEDIAAN</t>
  </si>
  <si>
    <t xml:space="preserve">BEKKES HUT TNI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</si>
</sst>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2" fontId="0" fillId="0" borderId="0" xfId="0" applyNumberFormat="1"/>
    <xf numFmtId="2" fontId="0" fillId="0" borderId="0" xfId="0" applyNumberFormat="1"/>
    <xf numFmtId="0" fontId="0" fillId="0" borderId="1" xfId="0" applyBorder="1"/>
    <xf numFmtId="42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2" fontId="1" fillId="0" borderId="2" xfId="0" applyNumberFormat="1" applyFont="1" applyBorder="1" applyAlignment="1">
      <alignment horizontal="center"/>
    </xf>
    <xf numFmtId="42" fontId="1" fillId="0" borderId="3" xfId="0" applyNumberFormat="1" applyFont="1" applyBorder="1" applyAlignment="1">
      <alignment horizontal="center"/>
    </xf>
    <xf numFmtId="42" fontId="1" fillId="0" borderId="4" xfId="0" applyNumberFormat="1" applyFont="1" applyBorder="1" applyAlignment="1">
      <alignment horizontal="center"/>
    </xf>
    <xf numFmtId="42" fontId="1" fillId="0" borderId="1" xfId="0" applyNumberFormat="1" applyFont="1" applyBorder="1"/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07A0-4E0E-4A10-A603-91EF06CA6CF6}">
  <dimension ref="A1:I33"/>
  <sheetViews>
    <sheetView tabSelected="1" workbookViewId="0">
      <selection sqref="A1:I1"/>
    </sheetView>
  </sheetViews>
  <sheetFormatPr defaultRowHeight="15" x14ac:dyDescent="0.25"/>
  <cols>
    <col min="1" max="1" width="9.140625" style="7"/>
    <col min="2" max="2" width="37.7109375" bestFit="1" customWidth="1"/>
    <col min="3" max="3" width="37.7109375" customWidth="1"/>
    <col min="4" max="5" width="9.140625" style="7"/>
    <col min="6" max="6" width="11.28515625" style="1" hidden="1" customWidth="1"/>
    <col min="7" max="7" width="5.5703125" style="2" hidden="1" customWidth="1"/>
    <col min="8" max="8" width="11.28515625" style="1" bestFit="1" customWidth="1"/>
    <col min="9" max="9" width="12.85546875" bestFit="1" customWidth="1"/>
  </cols>
  <sheetData>
    <row r="1" spans="1:9" x14ac:dyDescent="0.25">
      <c r="A1" s="16" t="s">
        <v>67</v>
      </c>
      <c r="B1" s="16"/>
      <c r="C1" s="16"/>
      <c r="D1" s="16"/>
      <c r="E1" s="16"/>
      <c r="F1" s="16"/>
      <c r="G1" s="16"/>
      <c r="H1" s="16"/>
      <c r="I1" s="16"/>
    </row>
    <row r="2" spans="1:9" s="11" customFormat="1" x14ac:dyDescent="0.25">
      <c r="A2" s="8" t="s">
        <v>0</v>
      </c>
      <c r="B2" s="8" t="s">
        <v>65</v>
      </c>
      <c r="C2" s="8" t="s">
        <v>66</v>
      </c>
      <c r="D2" s="8" t="s">
        <v>1</v>
      </c>
      <c r="E2" s="8" t="s">
        <v>2</v>
      </c>
      <c r="F2" s="9" t="s">
        <v>58</v>
      </c>
      <c r="G2" s="10" t="s">
        <v>59</v>
      </c>
      <c r="H2" s="9" t="s">
        <v>60</v>
      </c>
      <c r="I2" s="9" t="s">
        <v>57</v>
      </c>
    </row>
    <row r="3" spans="1:9" x14ac:dyDescent="0.25">
      <c r="A3" s="6">
        <v>1</v>
      </c>
      <c r="B3" s="3" t="s">
        <v>3</v>
      </c>
      <c r="C3" s="3" t="s">
        <v>3</v>
      </c>
      <c r="D3" s="6">
        <v>500</v>
      </c>
      <c r="E3" s="6" t="s">
        <v>4</v>
      </c>
      <c r="F3" s="4">
        <v>1150</v>
      </c>
      <c r="G3" s="5">
        <v>21</v>
      </c>
      <c r="H3" s="4">
        <f>(F3-(F3*G3/100))*1.11</f>
        <v>1008.4350000000001</v>
      </c>
      <c r="I3" s="4">
        <f>H3*D3</f>
        <v>504217.50000000006</v>
      </c>
    </row>
    <row r="4" spans="1:9" x14ac:dyDescent="0.25">
      <c r="A4" s="6">
        <v>2</v>
      </c>
      <c r="B4" s="3" t="s">
        <v>17</v>
      </c>
      <c r="C4" s="3" t="s">
        <v>5</v>
      </c>
      <c r="D4" s="6">
        <v>100</v>
      </c>
      <c r="E4" s="6" t="s">
        <v>4</v>
      </c>
      <c r="F4" s="4">
        <v>1250</v>
      </c>
      <c r="G4" s="5">
        <v>71.59</v>
      </c>
      <c r="H4" s="4">
        <f t="shared" ref="H4:H32" si="0">(F4-(F4*G4/100))*1.11</f>
        <v>394.18875000000003</v>
      </c>
      <c r="I4" s="4">
        <f t="shared" ref="I4:I32" si="1">H4*D4</f>
        <v>39418.875</v>
      </c>
    </row>
    <row r="5" spans="1:9" x14ac:dyDescent="0.25">
      <c r="A5" s="6">
        <v>3</v>
      </c>
      <c r="B5" s="3" t="s">
        <v>18</v>
      </c>
      <c r="C5" s="3" t="s">
        <v>6</v>
      </c>
      <c r="D5" s="6">
        <v>500</v>
      </c>
      <c r="E5" s="6" t="s">
        <v>4</v>
      </c>
      <c r="F5" s="4">
        <v>610</v>
      </c>
      <c r="G5" s="5">
        <v>36.18</v>
      </c>
      <c r="H5" s="4">
        <f t="shared" si="0"/>
        <v>432.12522000000007</v>
      </c>
      <c r="I5" s="4">
        <f t="shared" si="1"/>
        <v>216062.61000000004</v>
      </c>
    </row>
    <row r="6" spans="1:9" x14ac:dyDescent="0.25">
      <c r="A6" s="6">
        <v>4</v>
      </c>
      <c r="B6" s="3" t="s">
        <v>19</v>
      </c>
      <c r="C6" s="3" t="s">
        <v>7</v>
      </c>
      <c r="D6" s="6">
        <v>500</v>
      </c>
      <c r="E6" s="6" t="s">
        <v>4</v>
      </c>
      <c r="F6" s="4">
        <v>180</v>
      </c>
      <c r="G6" s="5">
        <v>7.5</v>
      </c>
      <c r="H6" s="4">
        <f t="shared" si="0"/>
        <v>184.81500000000003</v>
      </c>
      <c r="I6" s="4">
        <f t="shared" si="1"/>
        <v>92407.500000000015</v>
      </c>
    </row>
    <row r="7" spans="1:9" x14ac:dyDescent="0.25">
      <c r="A7" s="6">
        <v>5</v>
      </c>
      <c r="B7" s="3" t="s">
        <v>20</v>
      </c>
      <c r="C7" s="3" t="s">
        <v>8</v>
      </c>
      <c r="D7" s="6">
        <v>100</v>
      </c>
      <c r="E7" s="6" t="s">
        <v>4</v>
      </c>
      <c r="F7" s="4">
        <v>350</v>
      </c>
      <c r="G7" s="5">
        <v>25</v>
      </c>
      <c r="H7" s="4">
        <f t="shared" si="0"/>
        <v>291.375</v>
      </c>
      <c r="I7" s="4">
        <f t="shared" si="1"/>
        <v>29137.5</v>
      </c>
    </row>
    <row r="8" spans="1:9" x14ac:dyDescent="0.25">
      <c r="A8" s="6">
        <v>6</v>
      </c>
      <c r="B8" s="3" t="s">
        <v>9</v>
      </c>
      <c r="C8" s="3"/>
      <c r="D8" s="6">
        <v>200</v>
      </c>
      <c r="E8" s="6" t="s">
        <v>4</v>
      </c>
      <c r="F8" s="4"/>
      <c r="G8" s="5"/>
      <c r="H8" s="4">
        <f t="shared" si="0"/>
        <v>0</v>
      </c>
      <c r="I8" s="4">
        <f t="shared" si="1"/>
        <v>0</v>
      </c>
    </row>
    <row r="9" spans="1:9" x14ac:dyDescent="0.25">
      <c r="A9" s="6">
        <v>7</v>
      </c>
      <c r="B9" s="3" t="s">
        <v>10</v>
      </c>
      <c r="C9" s="3" t="s">
        <v>61</v>
      </c>
      <c r="D9" s="6">
        <v>500</v>
      </c>
      <c r="E9" s="6" t="s">
        <v>4</v>
      </c>
      <c r="F9" s="4">
        <v>330</v>
      </c>
      <c r="G9" s="5">
        <v>14</v>
      </c>
      <c r="H9" s="4">
        <f t="shared" si="0"/>
        <v>315.01800000000003</v>
      </c>
      <c r="I9" s="4">
        <f t="shared" si="1"/>
        <v>157509</v>
      </c>
    </row>
    <row r="10" spans="1:9" x14ac:dyDescent="0.25">
      <c r="A10" s="6">
        <v>8</v>
      </c>
      <c r="B10" s="3" t="s">
        <v>21</v>
      </c>
      <c r="C10" s="3" t="s">
        <v>11</v>
      </c>
      <c r="D10" s="6">
        <v>300</v>
      </c>
      <c r="E10" s="6" t="s">
        <v>4</v>
      </c>
      <c r="F10" s="4">
        <v>200</v>
      </c>
      <c r="G10" s="5">
        <v>30</v>
      </c>
      <c r="H10" s="4">
        <f t="shared" si="0"/>
        <v>155.4</v>
      </c>
      <c r="I10" s="4">
        <f t="shared" si="1"/>
        <v>46620</v>
      </c>
    </row>
    <row r="11" spans="1:9" x14ac:dyDescent="0.25">
      <c r="A11" s="6">
        <v>9</v>
      </c>
      <c r="B11" s="3" t="s">
        <v>22</v>
      </c>
      <c r="C11" s="3" t="s">
        <v>12</v>
      </c>
      <c r="D11" s="6">
        <v>200</v>
      </c>
      <c r="E11" s="6" t="s">
        <v>4</v>
      </c>
      <c r="F11" s="4">
        <v>330</v>
      </c>
      <c r="G11" s="5">
        <v>30</v>
      </c>
      <c r="H11" s="4">
        <f t="shared" si="0"/>
        <v>256.41000000000003</v>
      </c>
      <c r="I11" s="4">
        <f t="shared" si="1"/>
        <v>51282.000000000007</v>
      </c>
    </row>
    <row r="12" spans="1:9" x14ac:dyDescent="0.25">
      <c r="A12" s="6">
        <v>10</v>
      </c>
      <c r="B12" s="3" t="s">
        <v>13</v>
      </c>
      <c r="C12" s="3" t="s">
        <v>39</v>
      </c>
      <c r="D12" s="6">
        <v>400</v>
      </c>
      <c r="E12" s="6" t="s">
        <v>4</v>
      </c>
      <c r="F12" s="4">
        <v>248</v>
      </c>
      <c r="G12" s="5">
        <v>14</v>
      </c>
      <c r="H12" s="4">
        <f t="shared" si="0"/>
        <v>236.74080000000004</v>
      </c>
      <c r="I12" s="4">
        <f t="shared" si="1"/>
        <v>94696.320000000007</v>
      </c>
    </row>
    <row r="13" spans="1:9" x14ac:dyDescent="0.25">
      <c r="A13" s="6">
        <v>11</v>
      </c>
      <c r="B13" s="3" t="s">
        <v>14</v>
      </c>
      <c r="C13" s="3" t="s">
        <v>44</v>
      </c>
      <c r="D13" s="6">
        <v>1000</v>
      </c>
      <c r="E13" s="6" t="s">
        <v>4</v>
      </c>
      <c r="F13" s="4">
        <v>875</v>
      </c>
      <c r="G13" s="5"/>
      <c r="H13" s="4">
        <f t="shared" si="0"/>
        <v>971.25000000000011</v>
      </c>
      <c r="I13" s="4">
        <f t="shared" si="1"/>
        <v>971250.00000000012</v>
      </c>
    </row>
    <row r="14" spans="1:9" x14ac:dyDescent="0.25">
      <c r="A14" s="6">
        <v>12</v>
      </c>
      <c r="B14" s="3" t="s">
        <v>23</v>
      </c>
      <c r="C14" s="3" t="s">
        <v>40</v>
      </c>
      <c r="D14" s="6">
        <v>400</v>
      </c>
      <c r="E14" s="6" t="s">
        <v>4</v>
      </c>
      <c r="F14" s="4">
        <v>170</v>
      </c>
      <c r="G14" s="5"/>
      <c r="H14" s="4">
        <f t="shared" si="0"/>
        <v>188.70000000000002</v>
      </c>
      <c r="I14" s="4">
        <f t="shared" si="1"/>
        <v>75480</v>
      </c>
    </row>
    <row r="15" spans="1:9" x14ac:dyDescent="0.25">
      <c r="A15" s="6">
        <v>13</v>
      </c>
      <c r="B15" s="3" t="s">
        <v>15</v>
      </c>
      <c r="C15" s="3" t="s">
        <v>41</v>
      </c>
      <c r="D15" s="6">
        <v>200</v>
      </c>
      <c r="E15" s="6" t="s">
        <v>4</v>
      </c>
      <c r="F15" s="4">
        <v>475</v>
      </c>
      <c r="G15" s="5">
        <v>17</v>
      </c>
      <c r="H15" s="4">
        <f t="shared" si="0"/>
        <v>437.61750000000006</v>
      </c>
      <c r="I15" s="4">
        <f t="shared" si="1"/>
        <v>87523.500000000015</v>
      </c>
    </row>
    <row r="16" spans="1:9" x14ac:dyDescent="0.25">
      <c r="A16" s="6">
        <v>14</v>
      </c>
      <c r="B16" s="3" t="s">
        <v>16</v>
      </c>
      <c r="C16" s="3" t="s">
        <v>42</v>
      </c>
      <c r="D16" s="6">
        <v>500</v>
      </c>
      <c r="E16" s="6" t="s">
        <v>4</v>
      </c>
      <c r="F16" s="4">
        <v>152</v>
      </c>
      <c r="G16" s="5">
        <v>25</v>
      </c>
      <c r="H16" s="4">
        <f t="shared" si="0"/>
        <v>126.54</v>
      </c>
      <c r="I16" s="4">
        <f t="shared" si="1"/>
        <v>63270</v>
      </c>
    </row>
    <row r="17" spans="1:9" x14ac:dyDescent="0.25">
      <c r="A17" s="6">
        <v>15</v>
      </c>
      <c r="B17" s="3" t="s">
        <v>51</v>
      </c>
      <c r="C17" s="3" t="s">
        <v>43</v>
      </c>
      <c r="D17" s="6">
        <v>200</v>
      </c>
      <c r="E17" s="6" t="s">
        <v>4</v>
      </c>
      <c r="F17" s="4">
        <v>186</v>
      </c>
      <c r="G17" s="5"/>
      <c r="H17" s="4">
        <f t="shared" si="0"/>
        <v>206.46</v>
      </c>
      <c r="I17" s="4">
        <f t="shared" si="1"/>
        <v>41292</v>
      </c>
    </row>
    <row r="18" spans="1:9" x14ac:dyDescent="0.25">
      <c r="A18" s="6">
        <v>16</v>
      </c>
      <c r="B18" s="3" t="s">
        <v>24</v>
      </c>
      <c r="C18" s="3" t="s">
        <v>52</v>
      </c>
      <c r="D18" s="6">
        <v>200</v>
      </c>
      <c r="E18" s="6" t="s">
        <v>4</v>
      </c>
      <c r="F18" s="4">
        <v>246</v>
      </c>
      <c r="G18" s="5">
        <v>50</v>
      </c>
      <c r="H18" s="4">
        <f t="shared" si="0"/>
        <v>136.53</v>
      </c>
      <c r="I18" s="4">
        <f t="shared" si="1"/>
        <v>27306</v>
      </c>
    </row>
    <row r="19" spans="1:9" x14ac:dyDescent="0.25">
      <c r="A19" s="6">
        <v>17</v>
      </c>
      <c r="B19" s="3" t="s">
        <v>25</v>
      </c>
      <c r="C19" s="3" t="s">
        <v>62</v>
      </c>
      <c r="D19" s="6">
        <v>25</v>
      </c>
      <c r="E19" s="6" t="s">
        <v>53</v>
      </c>
      <c r="F19" s="4">
        <v>2344</v>
      </c>
      <c r="G19" s="5">
        <v>35</v>
      </c>
      <c r="H19" s="4">
        <f t="shared" si="0"/>
        <v>1691.1960000000001</v>
      </c>
      <c r="I19" s="4">
        <f t="shared" si="1"/>
        <v>42279.9</v>
      </c>
    </row>
    <row r="20" spans="1:9" x14ac:dyDescent="0.25">
      <c r="A20" s="6">
        <v>18</v>
      </c>
      <c r="B20" s="3" t="s">
        <v>26</v>
      </c>
      <c r="C20" s="3" t="s">
        <v>63</v>
      </c>
      <c r="D20" s="6">
        <v>25</v>
      </c>
      <c r="E20" s="6" t="s">
        <v>53</v>
      </c>
      <c r="F20" s="4">
        <v>2544</v>
      </c>
      <c r="G20" s="5"/>
      <c r="H20" s="4">
        <f t="shared" si="0"/>
        <v>2823.84</v>
      </c>
      <c r="I20" s="4">
        <f t="shared" si="1"/>
        <v>70596</v>
      </c>
    </row>
    <row r="21" spans="1:9" x14ac:dyDescent="0.25">
      <c r="A21" s="6">
        <v>19</v>
      </c>
      <c r="B21" s="3" t="s">
        <v>27</v>
      </c>
      <c r="C21" s="3" t="s">
        <v>64</v>
      </c>
      <c r="D21" s="6">
        <v>25</v>
      </c>
      <c r="E21" s="6" t="s">
        <v>53</v>
      </c>
      <c r="F21" s="4">
        <v>1600</v>
      </c>
      <c r="G21" s="5"/>
      <c r="H21" s="4">
        <f t="shared" si="0"/>
        <v>1776.0000000000002</v>
      </c>
      <c r="I21" s="4">
        <f t="shared" si="1"/>
        <v>44400.000000000007</v>
      </c>
    </row>
    <row r="22" spans="1:9" x14ac:dyDescent="0.25">
      <c r="A22" s="6">
        <v>20</v>
      </c>
      <c r="B22" s="3" t="s">
        <v>28</v>
      </c>
      <c r="C22" s="3" t="s">
        <v>28</v>
      </c>
      <c r="D22" s="6">
        <v>25</v>
      </c>
      <c r="E22" s="6" t="s">
        <v>53</v>
      </c>
      <c r="F22" s="4">
        <v>10500</v>
      </c>
      <c r="G22" s="5"/>
      <c r="H22" s="4">
        <f t="shared" si="0"/>
        <v>11655.000000000002</v>
      </c>
      <c r="I22" s="4">
        <f t="shared" si="1"/>
        <v>291375.00000000006</v>
      </c>
    </row>
    <row r="23" spans="1:9" x14ac:dyDescent="0.25">
      <c r="A23" s="6">
        <v>21</v>
      </c>
      <c r="B23" s="3" t="s">
        <v>29</v>
      </c>
      <c r="C23" s="3" t="s">
        <v>29</v>
      </c>
      <c r="D23" s="6">
        <v>100</v>
      </c>
      <c r="E23" s="6" t="s">
        <v>54</v>
      </c>
      <c r="F23" s="4">
        <v>3785</v>
      </c>
      <c r="G23" s="5">
        <v>10</v>
      </c>
      <c r="H23" s="4">
        <f t="shared" si="0"/>
        <v>3781.2150000000001</v>
      </c>
      <c r="I23" s="4">
        <f t="shared" si="1"/>
        <v>378121.5</v>
      </c>
    </row>
    <row r="24" spans="1:9" x14ac:dyDescent="0.25">
      <c r="A24" s="6">
        <v>22</v>
      </c>
      <c r="B24" s="3" t="s">
        <v>30</v>
      </c>
      <c r="C24" s="3" t="s">
        <v>45</v>
      </c>
      <c r="D24" s="6">
        <v>50</v>
      </c>
      <c r="E24" s="6" t="s">
        <v>54</v>
      </c>
      <c r="F24" s="4">
        <v>8910</v>
      </c>
      <c r="G24" s="5">
        <v>45</v>
      </c>
      <c r="H24" s="4">
        <f t="shared" si="0"/>
        <v>5439.5550000000003</v>
      </c>
      <c r="I24" s="4">
        <f t="shared" si="1"/>
        <v>271977.75</v>
      </c>
    </row>
    <row r="25" spans="1:9" x14ac:dyDescent="0.25">
      <c r="A25" s="6">
        <v>23</v>
      </c>
      <c r="B25" s="3" t="s">
        <v>31</v>
      </c>
      <c r="C25" s="3"/>
      <c r="D25" s="6">
        <v>100</v>
      </c>
      <c r="E25" s="6" t="s">
        <v>54</v>
      </c>
      <c r="F25" s="4"/>
      <c r="G25" s="5"/>
      <c r="H25" s="4">
        <f t="shared" si="0"/>
        <v>0</v>
      </c>
      <c r="I25" s="4">
        <f t="shared" si="1"/>
        <v>0</v>
      </c>
    </row>
    <row r="26" spans="1:9" x14ac:dyDescent="0.25">
      <c r="A26" s="6">
        <v>24</v>
      </c>
      <c r="B26" s="3" t="s">
        <v>32</v>
      </c>
      <c r="C26" s="3"/>
      <c r="D26" s="6">
        <v>5</v>
      </c>
      <c r="E26" s="6" t="s">
        <v>55</v>
      </c>
      <c r="F26" s="4"/>
      <c r="G26" s="5"/>
      <c r="H26" s="4">
        <f t="shared" si="0"/>
        <v>0</v>
      </c>
      <c r="I26" s="4">
        <f t="shared" si="1"/>
        <v>0</v>
      </c>
    </row>
    <row r="27" spans="1:9" x14ac:dyDescent="0.25">
      <c r="A27" s="6">
        <v>25</v>
      </c>
      <c r="B27" s="3" t="s">
        <v>33</v>
      </c>
      <c r="C27" s="3"/>
      <c r="D27" s="6">
        <v>20</v>
      </c>
      <c r="E27" s="6" t="s">
        <v>56</v>
      </c>
      <c r="F27" s="4"/>
      <c r="G27" s="5"/>
      <c r="H27" s="4">
        <f t="shared" si="0"/>
        <v>0</v>
      </c>
      <c r="I27" s="4">
        <f t="shared" si="1"/>
        <v>0</v>
      </c>
    </row>
    <row r="28" spans="1:9" x14ac:dyDescent="0.25">
      <c r="A28" s="6">
        <v>26</v>
      </c>
      <c r="B28" s="3" t="s">
        <v>34</v>
      </c>
      <c r="C28" s="3" t="s">
        <v>46</v>
      </c>
      <c r="D28" s="6">
        <v>100</v>
      </c>
      <c r="E28" s="6" t="s">
        <v>56</v>
      </c>
      <c r="F28" s="4">
        <v>1200</v>
      </c>
      <c r="G28" s="5">
        <v>57</v>
      </c>
      <c r="H28" s="4">
        <f t="shared" si="0"/>
        <v>572.7600000000001</v>
      </c>
      <c r="I28" s="4">
        <f t="shared" si="1"/>
        <v>57276.000000000007</v>
      </c>
    </row>
    <row r="29" spans="1:9" x14ac:dyDescent="0.25">
      <c r="A29" s="6">
        <v>27</v>
      </c>
      <c r="B29" s="3" t="s">
        <v>35</v>
      </c>
      <c r="C29" s="3" t="s">
        <v>47</v>
      </c>
      <c r="D29" s="6">
        <v>100</v>
      </c>
      <c r="E29" s="6" t="s">
        <v>56</v>
      </c>
      <c r="F29" s="4">
        <v>124</v>
      </c>
      <c r="G29" s="5">
        <v>35</v>
      </c>
      <c r="H29" s="4">
        <f t="shared" si="0"/>
        <v>89.466000000000008</v>
      </c>
      <c r="I29" s="4">
        <f t="shared" si="1"/>
        <v>8946.6</v>
      </c>
    </row>
    <row r="30" spans="1:9" x14ac:dyDescent="0.25">
      <c r="A30" s="6">
        <v>28</v>
      </c>
      <c r="B30" s="3" t="s">
        <v>36</v>
      </c>
      <c r="C30" s="3" t="s">
        <v>48</v>
      </c>
      <c r="D30" s="6">
        <v>50</v>
      </c>
      <c r="E30" s="6" t="s">
        <v>56</v>
      </c>
      <c r="F30" s="4">
        <v>15500</v>
      </c>
      <c r="G30" s="5">
        <v>42</v>
      </c>
      <c r="H30" s="4">
        <f t="shared" si="0"/>
        <v>9978.9000000000015</v>
      </c>
      <c r="I30" s="4">
        <f t="shared" si="1"/>
        <v>498945.00000000006</v>
      </c>
    </row>
    <row r="31" spans="1:9" x14ac:dyDescent="0.25">
      <c r="A31" s="6">
        <v>29</v>
      </c>
      <c r="B31" s="3" t="s">
        <v>37</v>
      </c>
      <c r="C31" s="3" t="s">
        <v>49</v>
      </c>
      <c r="D31" s="6">
        <v>50</v>
      </c>
      <c r="E31" s="6" t="s">
        <v>56</v>
      </c>
      <c r="F31" s="4">
        <v>8500</v>
      </c>
      <c r="G31" s="5">
        <v>10</v>
      </c>
      <c r="H31" s="4">
        <f t="shared" si="0"/>
        <v>8491.5</v>
      </c>
      <c r="I31" s="4">
        <f t="shared" si="1"/>
        <v>424575</v>
      </c>
    </row>
    <row r="32" spans="1:9" x14ac:dyDescent="0.25">
      <c r="A32" s="6">
        <v>30</v>
      </c>
      <c r="B32" s="3" t="s">
        <v>38</v>
      </c>
      <c r="C32" s="3" t="s">
        <v>50</v>
      </c>
      <c r="D32" s="6">
        <v>40</v>
      </c>
      <c r="E32" s="6" t="s">
        <v>55</v>
      </c>
      <c r="F32" s="4">
        <v>7656</v>
      </c>
      <c r="G32" s="5">
        <v>20</v>
      </c>
      <c r="H32" s="4">
        <f t="shared" si="0"/>
        <v>6798.5280000000012</v>
      </c>
      <c r="I32" s="4">
        <f t="shared" si="1"/>
        <v>271941.12000000005</v>
      </c>
    </row>
    <row r="33" spans="1:9" x14ac:dyDescent="0.25">
      <c r="A33" s="6"/>
      <c r="B33" s="3"/>
      <c r="C33" s="3"/>
      <c r="D33" s="12" t="s">
        <v>57</v>
      </c>
      <c r="E33" s="13"/>
      <c r="F33" s="13"/>
      <c r="G33" s="13"/>
      <c r="H33" s="14"/>
      <c r="I33" s="15">
        <f>SUM(I3:I32)</f>
        <v>4857906.6749999998</v>
      </c>
    </row>
  </sheetData>
  <mergeCells count="2">
    <mergeCell ref="D33:H33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2024-10-03T01:16:23Z</dcterms:created>
  <dcterms:modified xsi:type="dcterms:W3CDTF">2024-10-03T01:59:19Z</dcterms:modified>
</cp:coreProperties>
</file>