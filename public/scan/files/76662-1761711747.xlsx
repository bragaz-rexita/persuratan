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1C5E28-17B2-4D2B-BB85-1F482260325C}" xr6:coauthVersionLast="47" xr6:coauthVersionMax="47" xr10:uidLastSave="{00000000-0000-0000-0000-000000000000}"/>
  <bookViews>
    <workbookView xWindow="-120" yWindow="-120" windowWidth="20730" windowHeight="11160" xr2:uid="{BA24E33A-F580-4E5D-8BDD-DC606E4A3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1" l="1"/>
  <c r="L40" i="1" s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7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16" i="1"/>
  <c r="F8" i="1"/>
  <c r="F9" i="1"/>
  <c r="F10" i="1"/>
  <c r="F11" i="1"/>
  <c r="F12" i="1"/>
  <c r="F13" i="1"/>
  <c r="F14" i="1"/>
  <c r="F7" i="1"/>
  <c r="E33" i="1"/>
  <c r="F33" i="1" s="1"/>
  <c r="F15" i="1" l="1"/>
  <c r="I40" i="1"/>
  <c r="F40" i="1"/>
</calcChain>
</file>

<file path=xl/sharedStrings.xml><?xml version="1.0" encoding="utf-8"?>
<sst xmlns="http://schemas.openxmlformats.org/spreadsheetml/2006/main" count="88" uniqueCount="73">
  <si>
    <t>NO</t>
  </si>
  <si>
    <t>NAMA</t>
  </si>
  <si>
    <t>RONTGEN PERIAPIKAL</t>
  </si>
  <si>
    <t>NAMA PRODUK</t>
  </si>
  <si>
    <t>HARGA</t>
  </si>
  <si>
    <t>DIAGNOSTIC SET</t>
  </si>
  <si>
    <t>NIERBEKEN DATAR</t>
  </si>
  <si>
    <t>ENDOMOTOR</t>
  </si>
  <si>
    <t>APEX LOCATOR</t>
  </si>
  <si>
    <t>GUTTAP CUTTER</t>
  </si>
  <si>
    <t>K-FILE ROTARY</t>
  </si>
  <si>
    <t>K-FILE HAND USE</t>
  </si>
  <si>
    <t>C-PILOT</t>
  </si>
  <si>
    <t>MATRIX CIRCUMFERENTIOAL</t>
  </si>
  <si>
    <t>SELULOID STRIP</t>
  </si>
  <si>
    <t>PLASTIS INSTRUMENT</t>
  </si>
  <si>
    <t>DENTAL ENDO CLEAN STAND FILE</t>
  </si>
  <si>
    <t>NAOCL 2,5%</t>
  </si>
  <si>
    <t>EDTA 17%</t>
  </si>
  <si>
    <t>Integra Hyper Light &amp; Nano pix 2 (sensor)</t>
  </si>
  <si>
    <t>QTY</t>
  </si>
  <si>
    <t>JUMLAH</t>
  </si>
  <si>
    <t>sonde saffa/marwa</t>
  </si>
  <si>
    <t>kaca mulut+handle saffa/marwa</t>
  </si>
  <si>
    <t>excavator saffa/marwa</t>
  </si>
  <si>
    <t>pincet saffa/marwa</t>
  </si>
  <si>
    <t>burnisher saffa/marwa</t>
  </si>
  <si>
    <t>stoper saffa/marwa</t>
  </si>
  <si>
    <t>pastis filling saffa/marwa</t>
  </si>
  <si>
    <t>nerbeken datar</t>
  </si>
  <si>
    <t>gutta cutter</t>
  </si>
  <si>
    <t>ENDO ACTIVATOR</t>
  </si>
  <si>
    <t>ENDO ACTIVATOR eighteeth</t>
  </si>
  <si>
    <t xml:space="preserve">eighteeth e style </t>
  </si>
  <si>
    <t>k-file hand use unico</t>
  </si>
  <si>
    <t>c-pilot densply</t>
  </si>
  <si>
    <t>matrix circumferentional densply</t>
  </si>
  <si>
    <t>celluloid strip matp 1 box isi 100</t>
  </si>
  <si>
    <t>plastis filling blue</t>
  </si>
  <si>
    <t>endo clean lokal</t>
  </si>
  <si>
    <t>IHS</t>
  </si>
  <si>
    <t>naocl 500 ml Onemed</t>
  </si>
  <si>
    <t>ENDOBOX</t>
  </si>
  <si>
    <t>endobox 72 hole</t>
  </si>
  <si>
    <t>ENDOBLOCK</t>
  </si>
  <si>
    <t>endoblock dentsply</t>
  </si>
  <si>
    <t>PALFIQUE SYSTEM KIT</t>
  </si>
  <si>
    <t>palfique system kit</t>
  </si>
  <si>
    <t>AH Plus Bioceramic Sealer</t>
  </si>
  <si>
    <t>Root canal sealer AH Plus</t>
  </si>
  <si>
    <t>eihteeth fast pack pro-3d</t>
  </si>
  <si>
    <t>bio-c repair</t>
  </si>
  <si>
    <t>komposit sculpting agent</t>
  </si>
  <si>
    <t>set kuas composite brush</t>
  </si>
  <si>
    <t>relyx u 200 3m</t>
  </si>
  <si>
    <t>eighteeth e-conect with apex</t>
  </si>
  <si>
    <t>spectrro 70x coluna movel</t>
  </si>
  <si>
    <t>diagnostic set isi 10</t>
  </si>
  <si>
    <t>woodpecker endo motor</t>
  </si>
  <si>
    <t xml:space="preserve">apex locator woodpecker </t>
  </si>
  <si>
    <t>woodpecker gutta percha obturation system</t>
  </si>
  <si>
    <t>celluloid strip svenska</t>
  </si>
  <si>
    <t>windsor style restorative kit</t>
  </si>
  <si>
    <t>hyposol 3% denpro</t>
  </si>
  <si>
    <t>edta 17% 15ml denpro</t>
  </si>
  <si>
    <t>total</t>
  </si>
  <si>
    <t>TOTAL</t>
  </si>
  <si>
    <t>BROMO DENTAL (PAK AGUNG : 0857-9085-5250)</t>
  </si>
  <si>
    <t>COBRA DENTAL (PAK DEBRIAN : 0819-9995-6007)</t>
  </si>
  <si>
    <t>PERBANDINGAN HARGA PENGAJUAN ALAT DAN BMHP POLI GIGI SUB SPESIALIS KONSERVASI GIGI</t>
  </si>
  <si>
    <t>Keterangan :</t>
  </si>
  <si>
    <t>spesifikasi sesuai rekomendasi dpjp</t>
  </si>
  <si>
    <t>harga lebih murah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</si>
</sst>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2" fontId="0" fillId="0" borderId="0" xfId="0" applyNumberFormat="1"/>
    <xf numFmtId="0" fontId="1" fillId="0" borderId="0" xfId="0" applyFont="1"/>
    <xf numFmtId="0" fontId="0" fillId="0" borderId="1" xfId="0" applyBorder="1"/>
    <xf numFmtId="42" fontId="0" fillId="0" borderId="1" xfId="0" applyNumberFormat="1" applyBorder="1"/>
    <xf numFmtId="0" fontId="0" fillId="2" borderId="1" xfId="0" applyFill="1" applyBorder="1"/>
    <xf numFmtId="42" fontId="0" fillId="2" borderId="1" xfId="0" applyNumberFormat="1" applyFill="1" applyBorder="1"/>
    <xf numFmtId="0" fontId="0" fillId="3" borderId="1" xfId="0" applyFill="1" applyBorder="1"/>
    <xf numFmtId="42" fontId="0" fillId="3" borderId="1" xfId="0" applyNumberFormat="1" applyFill="1" applyBorder="1"/>
    <xf numFmtId="42" fontId="0" fillId="5" borderId="1" xfId="0" applyNumberFormat="1" applyFill="1" applyBorder="1"/>
    <xf numFmtId="0" fontId="0" fillId="4" borderId="1" xfId="0" applyFill="1" applyBorder="1"/>
    <xf numFmtId="42" fontId="0" fillId="4" borderId="1" xfId="0" applyNumberFormat="1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0" fillId="6" borderId="1" xfId="0" applyNumberFormat="1" applyFill="1" applyBorder="1"/>
    <xf numFmtId="42" fontId="1" fillId="0" borderId="1" xfId="0" applyNumberFormat="1" applyFont="1" applyBorder="1"/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DE4C-FD4E-4244-B02D-AF0E8E2503E4}">
  <dimension ref="A1:L40"/>
  <sheetViews>
    <sheetView tabSelected="1" workbookViewId="0">
      <selection activeCell="D6" sqref="D6"/>
    </sheetView>
  </sheetViews>
  <sheetFormatPr defaultRowHeight="15" x14ac:dyDescent="0.25"/>
  <cols>
    <col min="1" max="1" width="3.85546875" style="14" bestFit="1" customWidth="1"/>
    <col min="2" max="2" width="24.42578125" customWidth="1"/>
    <col min="3" max="3" width="4.5703125" style="14" bestFit="1" customWidth="1"/>
    <col min="4" max="4" width="38" bestFit="1" customWidth="1"/>
    <col min="5" max="5" width="14" style="1" bestFit="1" customWidth="1"/>
    <col min="6" max="6" width="15" bestFit="1" customWidth="1"/>
    <col min="7" max="7" width="42.5703125" bestFit="1" customWidth="1"/>
    <col min="8" max="8" width="14" style="1" bestFit="1" customWidth="1"/>
    <col min="9" max="9" width="15" style="1" bestFit="1" customWidth="1"/>
    <col min="10" max="10" width="20.28515625" bestFit="1" customWidth="1"/>
    <col min="11" max="12" width="10.28515625" style="1" bestFit="1" customWidth="1"/>
  </cols>
  <sheetData>
    <row r="1" spans="1:12" x14ac:dyDescent="0.25">
      <c r="B1" s="2" t="s">
        <v>69</v>
      </c>
    </row>
    <row r="2" spans="1:12" x14ac:dyDescent="0.25">
      <c r="B2" t="s">
        <v>70</v>
      </c>
      <c r="C2" s="33"/>
      <c r="D2" t="s">
        <v>71</v>
      </c>
    </row>
    <row r="3" spans="1:12" x14ac:dyDescent="0.25">
      <c r="C3" s="34"/>
      <c r="D3" t="s">
        <v>72</v>
      </c>
    </row>
    <row r="5" spans="1:12" s="31" customFormat="1" x14ac:dyDescent="0.25">
      <c r="A5" s="21" t="s">
        <v>0</v>
      </c>
      <c r="B5" s="21" t="s">
        <v>1</v>
      </c>
      <c r="C5" s="21" t="s">
        <v>20</v>
      </c>
      <c r="D5" s="23" t="s">
        <v>67</v>
      </c>
      <c r="E5" s="24"/>
      <c r="F5" s="25"/>
      <c r="G5" s="26" t="s">
        <v>68</v>
      </c>
      <c r="H5" s="27"/>
      <c r="I5" s="28"/>
      <c r="J5" s="29"/>
      <c r="K5" s="30"/>
      <c r="L5" s="30" t="s">
        <v>40</v>
      </c>
    </row>
    <row r="6" spans="1:12" s="31" customFormat="1" x14ac:dyDescent="0.25">
      <c r="A6" s="22"/>
      <c r="B6" s="22"/>
      <c r="C6" s="22"/>
      <c r="D6" s="29" t="s">
        <v>3</v>
      </c>
      <c r="E6" s="30" t="s">
        <v>4</v>
      </c>
      <c r="F6" s="29" t="s">
        <v>21</v>
      </c>
      <c r="G6" s="29" t="s">
        <v>3</v>
      </c>
      <c r="H6" s="30" t="s">
        <v>4</v>
      </c>
      <c r="I6" s="30" t="s">
        <v>21</v>
      </c>
      <c r="J6" s="29" t="s">
        <v>3</v>
      </c>
      <c r="K6" s="30" t="s">
        <v>4</v>
      </c>
      <c r="L6" s="30" t="s">
        <v>21</v>
      </c>
    </row>
    <row r="7" spans="1:12" x14ac:dyDescent="0.25">
      <c r="A7" s="13">
        <v>1</v>
      </c>
      <c r="B7" s="3" t="s">
        <v>2</v>
      </c>
      <c r="C7" s="32">
        <v>1</v>
      </c>
      <c r="D7" s="5" t="s">
        <v>19</v>
      </c>
      <c r="E7" s="6">
        <v>46000000</v>
      </c>
      <c r="F7" s="6">
        <f>E7*C7</f>
        <v>46000000</v>
      </c>
      <c r="G7" s="4" t="s">
        <v>56</v>
      </c>
      <c r="H7" s="4">
        <v>94999998</v>
      </c>
      <c r="I7" s="4">
        <f>H7*C7</f>
        <v>94999998</v>
      </c>
      <c r="J7" s="3"/>
      <c r="K7" s="4"/>
      <c r="L7" s="4"/>
    </row>
    <row r="8" spans="1:12" x14ac:dyDescent="0.25">
      <c r="A8" s="13">
        <v>2</v>
      </c>
      <c r="B8" s="3" t="s">
        <v>5</v>
      </c>
      <c r="C8" s="32">
        <v>15</v>
      </c>
      <c r="D8" s="7" t="s">
        <v>22</v>
      </c>
      <c r="E8" s="8">
        <v>26000</v>
      </c>
      <c r="F8" s="8">
        <f t="shared" ref="F8:F14" si="0">E8*C8</f>
        <v>390000</v>
      </c>
      <c r="G8" s="18"/>
      <c r="H8" s="18"/>
      <c r="I8" s="18"/>
      <c r="J8" s="3"/>
      <c r="K8" s="4"/>
      <c r="L8" s="4"/>
    </row>
    <row r="9" spans="1:12" x14ac:dyDescent="0.25">
      <c r="A9" s="13"/>
      <c r="B9" s="3"/>
      <c r="C9" s="32">
        <v>15</v>
      </c>
      <c r="D9" s="7" t="s">
        <v>23</v>
      </c>
      <c r="E9" s="8">
        <v>35000</v>
      </c>
      <c r="F9" s="8">
        <f t="shared" si="0"/>
        <v>525000</v>
      </c>
      <c r="G9" s="4"/>
      <c r="H9" s="4"/>
      <c r="I9" s="4"/>
      <c r="J9" s="3"/>
      <c r="K9" s="4"/>
      <c r="L9" s="4"/>
    </row>
    <row r="10" spans="1:12" x14ac:dyDescent="0.25">
      <c r="A10" s="13"/>
      <c r="B10" s="3"/>
      <c r="C10" s="32">
        <v>15</v>
      </c>
      <c r="D10" s="7" t="s">
        <v>24</v>
      </c>
      <c r="E10" s="8">
        <v>35000</v>
      </c>
      <c r="F10" s="8">
        <f t="shared" si="0"/>
        <v>525000</v>
      </c>
      <c r="G10" s="4"/>
      <c r="H10" s="4"/>
      <c r="I10" s="4"/>
      <c r="J10" s="3"/>
      <c r="K10" s="4"/>
      <c r="L10" s="4"/>
    </row>
    <row r="11" spans="1:12" x14ac:dyDescent="0.25">
      <c r="A11" s="13"/>
      <c r="B11" s="3"/>
      <c r="C11" s="32">
        <v>15</v>
      </c>
      <c r="D11" s="7" t="s">
        <v>25</v>
      </c>
      <c r="E11" s="8">
        <v>26000</v>
      </c>
      <c r="F11" s="8">
        <f t="shared" si="0"/>
        <v>390000</v>
      </c>
      <c r="G11" s="4"/>
      <c r="H11" s="4"/>
      <c r="I11" s="4"/>
      <c r="J11" s="3"/>
      <c r="K11" s="4"/>
      <c r="L11" s="4"/>
    </row>
    <row r="12" spans="1:12" x14ac:dyDescent="0.25">
      <c r="A12" s="13"/>
      <c r="B12" s="3"/>
      <c r="C12" s="32">
        <v>15</v>
      </c>
      <c r="D12" s="7" t="s">
        <v>26</v>
      </c>
      <c r="E12" s="8">
        <v>35000</v>
      </c>
      <c r="F12" s="8">
        <f t="shared" si="0"/>
        <v>525000</v>
      </c>
      <c r="G12" s="4"/>
      <c r="H12" s="4"/>
      <c r="I12" s="4"/>
      <c r="J12" s="3"/>
      <c r="K12" s="4"/>
      <c r="L12" s="4"/>
    </row>
    <row r="13" spans="1:12" x14ac:dyDescent="0.25">
      <c r="A13" s="13"/>
      <c r="B13" s="3"/>
      <c r="C13" s="32">
        <v>15</v>
      </c>
      <c r="D13" s="7" t="s">
        <v>27</v>
      </c>
      <c r="E13" s="8">
        <v>35000</v>
      </c>
      <c r="F13" s="8">
        <f t="shared" si="0"/>
        <v>525000</v>
      </c>
      <c r="G13" s="4"/>
      <c r="H13" s="4"/>
      <c r="I13" s="4"/>
      <c r="J13" s="3"/>
      <c r="K13" s="4"/>
      <c r="L13" s="4"/>
    </row>
    <row r="14" spans="1:12" x14ac:dyDescent="0.25">
      <c r="A14" s="13"/>
      <c r="B14" s="3"/>
      <c r="C14" s="32">
        <v>15</v>
      </c>
      <c r="D14" s="7" t="s">
        <v>28</v>
      </c>
      <c r="E14" s="8">
        <v>35000</v>
      </c>
      <c r="F14" s="8">
        <f t="shared" si="0"/>
        <v>525000</v>
      </c>
      <c r="G14" s="4"/>
      <c r="H14" s="4"/>
      <c r="I14" s="4"/>
      <c r="J14" s="3"/>
      <c r="K14" s="4"/>
      <c r="L14" s="4"/>
    </row>
    <row r="15" spans="1:12" x14ac:dyDescent="0.25">
      <c r="A15" s="13"/>
      <c r="B15" s="3"/>
      <c r="C15" s="32"/>
      <c r="D15" s="10" t="s">
        <v>65</v>
      </c>
      <c r="E15" s="11"/>
      <c r="F15" s="11">
        <f>SUM(F8:F14)</f>
        <v>3405000</v>
      </c>
      <c r="G15" s="9" t="s">
        <v>57</v>
      </c>
      <c r="H15" s="9">
        <v>210900</v>
      </c>
      <c r="I15" s="9">
        <f>H15*C14</f>
        <v>3163500</v>
      </c>
      <c r="J15" s="3"/>
      <c r="K15" s="4"/>
      <c r="L15" s="4"/>
    </row>
    <row r="16" spans="1:12" x14ac:dyDescent="0.25">
      <c r="A16" s="13">
        <v>3</v>
      </c>
      <c r="B16" s="3" t="s">
        <v>6</v>
      </c>
      <c r="C16" s="32">
        <v>15</v>
      </c>
      <c r="D16" s="12" t="s">
        <v>29</v>
      </c>
      <c r="E16" s="9">
        <v>26000</v>
      </c>
      <c r="F16" s="9">
        <f>E16*C16</f>
        <v>390000</v>
      </c>
      <c r="G16" s="3" t="s">
        <v>29</v>
      </c>
      <c r="H16" s="4">
        <v>50000</v>
      </c>
      <c r="I16" s="4">
        <f t="shared" ref="I16:I39" si="1">H16*C16</f>
        <v>750000</v>
      </c>
      <c r="J16" s="3"/>
      <c r="K16" s="4"/>
      <c r="L16" s="4"/>
    </row>
    <row r="17" spans="1:12" x14ac:dyDescent="0.25">
      <c r="A17" s="13">
        <v>4</v>
      </c>
      <c r="B17" s="3" t="s">
        <v>7</v>
      </c>
      <c r="C17" s="32">
        <v>1</v>
      </c>
      <c r="D17" s="5" t="s">
        <v>55</v>
      </c>
      <c r="E17" s="6">
        <v>24000000</v>
      </c>
      <c r="F17" s="6">
        <f t="shared" ref="F17:F39" si="2">E17*C17</f>
        <v>24000000</v>
      </c>
      <c r="G17" s="4" t="s">
        <v>58</v>
      </c>
      <c r="H17" s="4">
        <v>14652000</v>
      </c>
      <c r="I17" s="4">
        <f t="shared" si="1"/>
        <v>14652000</v>
      </c>
      <c r="J17" s="3"/>
      <c r="K17" s="4"/>
      <c r="L17" s="4"/>
    </row>
    <row r="18" spans="1:12" x14ac:dyDescent="0.25">
      <c r="A18" s="13">
        <v>5</v>
      </c>
      <c r="B18" s="3" t="s">
        <v>8</v>
      </c>
      <c r="C18" s="32"/>
      <c r="D18" s="3"/>
      <c r="E18" s="4"/>
      <c r="F18" s="18">
        <f t="shared" si="2"/>
        <v>0</v>
      </c>
      <c r="G18" s="4" t="s">
        <v>59</v>
      </c>
      <c r="H18" s="4">
        <v>3663000</v>
      </c>
      <c r="I18" s="4">
        <f t="shared" si="1"/>
        <v>0</v>
      </c>
      <c r="J18" s="3"/>
      <c r="K18" s="4"/>
      <c r="L18" s="4"/>
    </row>
    <row r="19" spans="1:12" x14ac:dyDescent="0.25">
      <c r="A19" s="13">
        <v>6</v>
      </c>
      <c r="B19" s="3" t="s">
        <v>9</v>
      </c>
      <c r="C19" s="32">
        <v>1</v>
      </c>
      <c r="D19" s="12" t="s">
        <v>30</v>
      </c>
      <c r="E19" s="9">
        <v>300000</v>
      </c>
      <c r="F19" s="9">
        <f t="shared" si="2"/>
        <v>300000</v>
      </c>
      <c r="G19" s="4" t="s">
        <v>60</v>
      </c>
      <c r="H19" s="4">
        <v>10822500</v>
      </c>
      <c r="I19" s="4">
        <f t="shared" si="1"/>
        <v>10822500</v>
      </c>
      <c r="J19" s="3"/>
      <c r="K19" s="4"/>
      <c r="L19" s="4"/>
    </row>
    <row r="20" spans="1:12" x14ac:dyDescent="0.25">
      <c r="A20" s="13">
        <v>7</v>
      </c>
      <c r="B20" s="3" t="s">
        <v>31</v>
      </c>
      <c r="C20" s="32">
        <v>1</v>
      </c>
      <c r="D20" s="5" t="s">
        <v>32</v>
      </c>
      <c r="E20" s="6">
        <v>6500000</v>
      </c>
      <c r="F20" s="6">
        <f t="shared" si="2"/>
        <v>6500000</v>
      </c>
      <c r="G20" s="4"/>
      <c r="H20" s="4"/>
      <c r="I20" s="4">
        <f t="shared" si="1"/>
        <v>0</v>
      </c>
      <c r="J20" s="3"/>
      <c r="K20" s="4"/>
      <c r="L20" s="4"/>
    </row>
    <row r="21" spans="1:12" x14ac:dyDescent="0.25">
      <c r="A21" s="13">
        <v>8</v>
      </c>
      <c r="B21" s="3" t="s">
        <v>10</v>
      </c>
      <c r="C21" s="32">
        <v>2</v>
      </c>
      <c r="D21" s="5" t="s">
        <v>33</v>
      </c>
      <c r="E21" s="6">
        <v>455000</v>
      </c>
      <c r="F21" s="6">
        <f t="shared" si="2"/>
        <v>910000</v>
      </c>
      <c r="G21" s="4"/>
      <c r="H21" s="4"/>
      <c r="I21" s="4">
        <f t="shared" si="1"/>
        <v>0</v>
      </c>
      <c r="J21" s="3"/>
      <c r="K21" s="4"/>
      <c r="L21" s="4"/>
    </row>
    <row r="22" spans="1:12" x14ac:dyDescent="0.25">
      <c r="A22" s="13">
        <v>9</v>
      </c>
      <c r="B22" s="3" t="s">
        <v>11</v>
      </c>
      <c r="C22" s="32">
        <v>5</v>
      </c>
      <c r="D22" s="3" t="s">
        <v>34</v>
      </c>
      <c r="E22" s="4">
        <v>80000</v>
      </c>
      <c r="F22" s="18">
        <f t="shared" si="2"/>
        <v>400000</v>
      </c>
      <c r="G22" s="4"/>
      <c r="H22" s="4"/>
      <c r="I22" s="4">
        <f t="shared" si="1"/>
        <v>0</v>
      </c>
      <c r="J22" s="3"/>
      <c r="K22" s="4"/>
      <c r="L22" s="4"/>
    </row>
    <row r="23" spans="1:12" x14ac:dyDescent="0.25">
      <c r="A23" s="13">
        <v>10</v>
      </c>
      <c r="B23" s="3" t="s">
        <v>12</v>
      </c>
      <c r="C23" s="32">
        <v>4</v>
      </c>
      <c r="D23" s="3" t="s">
        <v>35</v>
      </c>
      <c r="E23" s="4">
        <v>450000</v>
      </c>
      <c r="F23" s="18">
        <f t="shared" si="2"/>
        <v>1800000</v>
      </c>
      <c r="G23" s="4"/>
      <c r="H23" s="4"/>
      <c r="I23" s="4">
        <f t="shared" si="1"/>
        <v>0</v>
      </c>
      <c r="J23" s="3"/>
      <c r="K23" s="4"/>
      <c r="L23" s="4"/>
    </row>
    <row r="24" spans="1:12" x14ac:dyDescent="0.25">
      <c r="A24" s="13">
        <v>11</v>
      </c>
      <c r="B24" s="3" t="s">
        <v>13</v>
      </c>
      <c r="C24" s="32">
        <v>2</v>
      </c>
      <c r="D24" s="3" t="s">
        <v>36</v>
      </c>
      <c r="E24" s="4">
        <v>180000</v>
      </c>
      <c r="F24" s="18">
        <f t="shared" si="2"/>
        <v>360000</v>
      </c>
      <c r="G24" s="4"/>
      <c r="H24" s="4"/>
      <c r="I24" s="4">
        <f t="shared" si="1"/>
        <v>0</v>
      </c>
      <c r="J24" s="3"/>
      <c r="K24" s="4"/>
      <c r="L24" s="4"/>
    </row>
    <row r="25" spans="1:12" x14ac:dyDescent="0.25">
      <c r="A25" s="13">
        <v>12</v>
      </c>
      <c r="B25" s="3" t="s">
        <v>14</v>
      </c>
      <c r="C25" s="32">
        <v>1</v>
      </c>
      <c r="D25" s="3" t="s">
        <v>37</v>
      </c>
      <c r="E25" s="4">
        <v>70000</v>
      </c>
      <c r="F25" s="18">
        <f t="shared" si="2"/>
        <v>70000</v>
      </c>
      <c r="G25" s="9" t="s">
        <v>61</v>
      </c>
      <c r="H25" s="9">
        <v>216450</v>
      </c>
      <c r="I25" s="9">
        <f t="shared" si="1"/>
        <v>216450</v>
      </c>
      <c r="J25" s="3"/>
      <c r="K25" s="4"/>
      <c r="L25" s="4"/>
    </row>
    <row r="26" spans="1:12" x14ac:dyDescent="0.25">
      <c r="A26" s="13">
        <v>13</v>
      </c>
      <c r="B26" s="3" t="s">
        <v>15</v>
      </c>
      <c r="C26" s="32">
        <v>1</v>
      </c>
      <c r="D26" s="12" t="s">
        <v>38</v>
      </c>
      <c r="E26" s="9">
        <v>250000</v>
      </c>
      <c r="F26" s="9">
        <f t="shared" si="2"/>
        <v>250000</v>
      </c>
      <c r="G26" s="4" t="s">
        <v>62</v>
      </c>
      <c r="H26" s="4">
        <v>999000</v>
      </c>
      <c r="I26" s="4">
        <f t="shared" si="1"/>
        <v>999000</v>
      </c>
      <c r="J26" s="3"/>
      <c r="K26" s="4"/>
      <c r="L26" s="4"/>
    </row>
    <row r="27" spans="1:12" x14ac:dyDescent="0.25">
      <c r="A27" s="13">
        <v>14</v>
      </c>
      <c r="B27" s="3" t="s">
        <v>16</v>
      </c>
      <c r="C27" s="32">
        <v>4</v>
      </c>
      <c r="D27" s="3" t="s">
        <v>39</v>
      </c>
      <c r="E27" s="4">
        <v>45000</v>
      </c>
      <c r="F27" s="18">
        <f t="shared" si="2"/>
        <v>180000</v>
      </c>
      <c r="G27" s="4"/>
      <c r="H27" s="4"/>
      <c r="I27" s="4">
        <f t="shared" si="1"/>
        <v>0</v>
      </c>
      <c r="J27" s="3"/>
      <c r="K27" s="4"/>
      <c r="L27" s="4"/>
    </row>
    <row r="28" spans="1:12" x14ac:dyDescent="0.25">
      <c r="A28" s="13">
        <v>15</v>
      </c>
      <c r="B28" s="3" t="s">
        <v>17</v>
      </c>
      <c r="C28" s="32">
        <v>2</v>
      </c>
      <c r="D28" s="3"/>
      <c r="E28" s="4"/>
      <c r="F28" s="18">
        <f t="shared" si="2"/>
        <v>0</v>
      </c>
      <c r="G28" s="4" t="s">
        <v>63</v>
      </c>
      <c r="H28" s="4">
        <v>99900</v>
      </c>
      <c r="I28" s="4">
        <f t="shared" si="1"/>
        <v>199800</v>
      </c>
      <c r="J28" s="12" t="s">
        <v>41</v>
      </c>
      <c r="K28" s="9">
        <v>37445.85</v>
      </c>
      <c r="L28" s="9">
        <f>K28*C28</f>
        <v>74891.7</v>
      </c>
    </row>
    <row r="29" spans="1:12" x14ac:dyDescent="0.25">
      <c r="A29" s="13">
        <v>16</v>
      </c>
      <c r="B29" s="3" t="s">
        <v>18</v>
      </c>
      <c r="C29" s="32">
        <v>2</v>
      </c>
      <c r="D29" s="3" t="s">
        <v>64</v>
      </c>
      <c r="E29" s="4">
        <v>80000</v>
      </c>
      <c r="F29" s="18">
        <f t="shared" si="2"/>
        <v>160000</v>
      </c>
      <c r="G29" s="12" t="s">
        <v>64</v>
      </c>
      <c r="H29" s="9">
        <v>72000</v>
      </c>
      <c r="I29" s="9">
        <f t="shared" si="1"/>
        <v>144000</v>
      </c>
      <c r="J29" s="3"/>
      <c r="K29" s="4"/>
      <c r="L29" s="4"/>
    </row>
    <row r="30" spans="1:12" x14ac:dyDescent="0.25">
      <c r="A30" s="13">
        <v>17</v>
      </c>
      <c r="B30" s="3" t="s">
        <v>42</v>
      </c>
      <c r="C30" s="32">
        <v>1</v>
      </c>
      <c r="D30" s="3" t="s">
        <v>43</v>
      </c>
      <c r="E30" s="4">
        <v>100000</v>
      </c>
      <c r="F30" s="18">
        <f t="shared" si="2"/>
        <v>100000</v>
      </c>
      <c r="G30" s="4"/>
      <c r="H30" s="4"/>
      <c r="I30" s="4">
        <f t="shared" si="1"/>
        <v>0</v>
      </c>
      <c r="J30" s="3"/>
      <c r="K30" s="4"/>
      <c r="L30" s="4"/>
    </row>
    <row r="31" spans="1:12" x14ac:dyDescent="0.25">
      <c r="A31" s="13">
        <v>18</v>
      </c>
      <c r="B31" s="3" t="s">
        <v>44</v>
      </c>
      <c r="C31" s="32">
        <v>1</v>
      </c>
      <c r="D31" s="3" t="s">
        <v>45</v>
      </c>
      <c r="E31" s="4">
        <v>400000</v>
      </c>
      <c r="F31" s="18">
        <f t="shared" si="2"/>
        <v>400000</v>
      </c>
      <c r="G31" s="4"/>
      <c r="H31" s="4"/>
      <c r="I31" s="4">
        <f t="shared" si="1"/>
        <v>0</v>
      </c>
      <c r="J31" s="3"/>
      <c r="K31" s="4"/>
      <c r="L31" s="4"/>
    </row>
    <row r="32" spans="1:12" x14ac:dyDescent="0.25">
      <c r="A32" s="13">
        <v>19</v>
      </c>
      <c r="B32" s="3" t="s">
        <v>46</v>
      </c>
      <c r="C32" s="32">
        <v>1</v>
      </c>
      <c r="D32" s="3" t="s">
        <v>47</v>
      </c>
      <c r="E32" s="4">
        <v>4500000</v>
      </c>
      <c r="F32" s="18">
        <f t="shared" si="2"/>
        <v>4500000</v>
      </c>
      <c r="G32" s="4"/>
      <c r="H32" s="4"/>
      <c r="I32" s="4">
        <f t="shared" si="1"/>
        <v>0</v>
      </c>
      <c r="J32" s="3"/>
      <c r="K32" s="4"/>
      <c r="L32" s="4"/>
    </row>
    <row r="33" spans="1:12" x14ac:dyDescent="0.25">
      <c r="A33" s="13">
        <v>20</v>
      </c>
      <c r="B33" s="3" t="s">
        <v>48</v>
      </c>
      <c r="C33" s="32">
        <v>1</v>
      </c>
      <c r="D33" s="3" t="s">
        <v>48</v>
      </c>
      <c r="E33" s="4">
        <f>1500000*1.11</f>
        <v>1665000.0000000002</v>
      </c>
      <c r="F33" s="18">
        <f t="shared" si="2"/>
        <v>1665000.0000000002</v>
      </c>
      <c r="G33" s="4"/>
      <c r="H33" s="4"/>
      <c r="I33" s="4">
        <f t="shared" si="1"/>
        <v>0</v>
      </c>
      <c r="J33" s="3"/>
      <c r="K33" s="4"/>
      <c r="L33" s="4"/>
    </row>
    <row r="34" spans="1:12" x14ac:dyDescent="0.25">
      <c r="A34" s="13">
        <v>21</v>
      </c>
      <c r="B34" s="3" t="s">
        <v>49</v>
      </c>
      <c r="C34" s="32">
        <v>1</v>
      </c>
      <c r="D34" s="3" t="s">
        <v>49</v>
      </c>
      <c r="E34" s="4">
        <v>1665000</v>
      </c>
      <c r="F34" s="18">
        <f t="shared" si="2"/>
        <v>1665000</v>
      </c>
      <c r="G34" s="4"/>
      <c r="H34" s="4"/>
      <c r="I34" s="4">
        <f t="shared" si="1"/>
        <v>0</v>
      </c>
      <c r="J34" s="3"/>
      <c r="K34" s="4"/>
      <c r="L34" s="4"/>
    </row>
    <row r="35" spans="1:12" x14ac:dyDescent="0.25">
      <c r="A35" s="13">
        <v>22</v>
      </c>
      <c r="B35" s="3" t="s">
        <v>50</v>
      </c>
      <c r="C35" s="32">
        <v>1</v>
      </c>
      <c r="D35" s="5" t="s">
        <v>50</v>
      </c>
      <c r="E35" s="6">
        <v>9457200</v>
      </c>
      <c r="F35" s="6">
        <f t="shared" si="2"/>
        <v>9457200</v>
      </c>
      <c r="G35" s="4"/>
      <c r="H35" s="4"/>
      <c r="I35" s="4">
        <f t="shared" si="1"/>
        <v>0</v>
      </c>
      <c r="J35" s="3"/>
      <c r="K35" s="4"/>
      <c r="L35" s="4"/>
    </row>
    <row r="36" spans="1:12" x14ac:dyDescent="0.25">
      <c r="A36" s="13">
        <v>23</v>
      </c>
      <c r="B36" s="3" t="s">
        <v>51</v>
      </c>
      <c r="C36" s="32">
        <v>1</v>
      </c>
      <c r="D36" s="3" t="s">
        <v>51</v>
      </c>
      <c r="E36" s="4">
        <v>732600</v>
      </c>
      <c r="F36" s="18">
        <f t="shared" si="2"/>
        <v>732600</v>
      </c>
      <c r="G36" s="3"/>
      <c r="H36" s="4"/>
      <c r="I36" s="4">
        <f t="shared" si="1"/>
        <v>0</v>
      </c>
      <c r="J36" s="3"/>
      <c r="K36" s="4"/>
      <c r="L36" s="4"/>
    </row>
    <row r="37" spans="1:12" x14ac:dyDescent="0.25">
      <c r="A37" s="13">
        <v>24</v>
      </c>
      <c r="B37" s="3" t="s">
        <v>52</v>
      </c>
      <c r="C37" s="32">
        <v>1</v>
      </c>
      <c r="D37" s="3" t="s">
        <v>52</v>
      </c>
      <c r="E37" s="4">
        <v>1276500</v>
      </c>
      <c r="F37" s="18">
        <f t="shared" si="2"/>
        <v>1276500</v>
      </c>
      <c r="G37" s="3"/>
      <c r="H37" s="4"/>
      <c r="I37" s="4">
        <f t="shared" si="1"/>
        <v>0</v>
      </c>
      <c r="J37" s="3"/>
      <c r="K37" s="4"/>
      <c r="L37" s="4"/>
    </row>
    <row r="38" spans="1:12" x14ac:dyDescent="0.25">
      <c r="A38" s="13">
        <v>25</v>
      </c>
      <c r="B38" s="3" t="s">
        <v>53</v>
      </c>
      <c r="C38" s="32">
        <v>1</v>
      </c>
      <c r="D38" s="3" t="s">
        <v>53</v>
      </c>
      <c r="E38" s="4">
        <v>559440</v>
      </c>
      <c r="F38" s="18">
        <f t="shared" si="2"/>
        <v>559440</v>
      </c>
      <c r="G38" s="3"/>
      <c r="H38" s="4"/>
      <c r="I38" s="4">
        <f t="shared" si="1"/>
        <v>0</v>
      </c>
      <c r="J38" s="3"/>
      <c r="K38" s="4"/>
      <c r="L38" s="4"/>
    </row>
    <row r="39" spans="1:12" x14ac:dyDescent="0.25">
      <c r="A39" s="13">
        <v>26</v>
      </c>
      <c r="B39" s="3" t="s">
        <v>54</v>
      </c>
      <c r="C39" s="32">
        <v>1</v>
      </c>
      <c r="D39" s="3" t="s">
        <v>54</v>
      </c>
      <c r="E39" s="4">
        <v>1964700</v>
      </c>
      <c r="F39" s="18">
        <f t="shared" si="2"/>
        <v>1964700</v>
      </c>
      <c r="G39" s="3"/>
      <c r="H39" s="4"/>
      <c r="I39" s="4">
        <f t="shared" si="1"/>
        <v>0</v>
      </c>
      <c r="J39" s="3"/>
      <c r="K39" s="4"/>
      <c r="L39" s="4"/>
    </row>
    <row r="40" spans="1:12" s="2" customFormat="1" x14ac:dyDescent="0.25">
      <c r="A40" s="15" t="s">
        <v>66</v>
      </c>
      <c r="B40" s="16"/>
      <c r="C40" s="16"/>
      <c r="D40" s="16"/>
      <c r="E40" s="17"/>
      <c r="F40" s="19">
        <f>SUM(F7+F15+F16+F17+F19+F20+F21+F22+F23+F24+F25+F26+F27+F29+F30+F31+F32+F33+F34+F35+F36+F37+F38+F39)</f>
        <v>107045440</v>
      </c>
      <c r="G40" s="20"/>
      <c r="H40" s="19"/>
      <c r="I40" s="19">
        <f>SUM(I7:I39)</f>
        <v>125947248</v>
      </c>
      <c r="J40" s="20"/>
      <c r="K40" s="19"/>
      <c r="L40" s="19">
        <f>L28</f>
        <v>74891.7</v>
      </c>
    </row>
  </sheetData>
  <mergeCells count="6">
    <mergeCell ref="G5:I5"/>
    <mergeCell ref="A40:E40"/>
    <mergeCell ref="A5:A6"/>
    <mergeCell ref="B5:B6"/>
    <mergeCell ref="C5:C6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2025-10-29T02:49:50Z</dcterms:created>
  <dcterms:modified xsi:type="dcterms:W3CDTF">2025-10-29T04:19:14Z</dcterms:modified>
</cp:coreProperties>
</file>