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47361A9-1305-47A1-86E3-121A8582EE52}" xr6:coauthVersionLast="47" xr6:coauthVersionMax="47" xr10:uidLastSave="{00000000-0000-0000-0000-000000000000}"/>
  <bookViews>
    <workbookView xWindow="-120" yWindow="-120" windowWidth="20730" windowHeight="11160" xr2:uid="{F71EB840-5116-4530-A97B-FB2DA96135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I10" i="1" s="1"/>
  <c r="H4" i="1"/>
  <c r="I4" i="1" s="1"/>
  <c r="H5" i="1"/>
  <c r="I5" i="1" s="1"/>
  <c r="H6" i="1"/>
  <c r="I6" i="1" s="1"/>
  <c r="H8" i="1"/>
  <c r="I8" i="1" s="1"/>
  <c r="H9" i="1"/>
  <c r="I9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I3" i="1"/>
  <c r="H3" i="1"/>
  <c r="I71" i="1" l="1"/>
</calcChain>
</file>

<file path=xl/sharedStrings.xml><?xml version="1.0" encoding="utf-8"?>
<sst xmlns="http://schemas.openxmlformats.org/spreadsheetml/2006/main" count="202" uniqueCount="130">
  <si>
    <t>NO</t>
  </si>
  <si>
    <t>NAMA PRODUK (PERMINTAAN)</t>
  </si>
  <si>
    <t>KETERSEDIAAN</t>
  </si>
  <si>
    <t>JUMLAH</t>
  </si>
  <si>
    <t>SATUAN</t>
  </si>
  <si>
    <t xml:space="preserve">HNA </t>
  </si>
  <si>
    <t>DISC</t>
  </si>
  <si>
    <t>HPP</t>
  </si>
  <si>
    <t>TOTAL</t>
  </si>
  <si>
    <t>BEKKES HUT TNI UJWALA YUDA</t>
  </si>
  <si>
    <t>PARACETAMOL TAB 500 MG</t>
  </si>
  <si>
    <t>ASAM MEFENAMAT TAB 500 MG</t>
  </si>
  <si>
    <t>NATRIUM DICLOFENAK TAB 50 MG</t>
  </si>
  <si>
    <t>AMOXICILLIN TAB 500 MG</t>
  </si>
  <si>
    <t>CHLORAMFENICOL 500 MG</t>
  </si>
  <si>
    <t>CIPROFLOXACIN TAB 500 MG</t>
  </si>
  <si>
    <t>CEFADROXIL CAPS 500 MG</t>
  </si>
  <si>
    <t>DEMACOLIN TAB</t>
  </si>
  <si>
    <t>AMBROXOL TAB</t>
  </si>
  <si>
    <t>GLISERIL GUAIAKOLAT TAB</t>
  </si>
  <si>
    <t>CTM TAB</t>
  </si>
  <si>
    <t>DEXAMETHASONE TAB 0,5 MG</t>
  </si>
  <si>
    <t>METHYLPREDNISOLON TAB</t>
  </si>
  <si>
    <t>CETIRIZIN TAB</t>
  </si>
  <si>
    <t>ANTASIDA DOEN TAB</t>
  </si>
  <si>
    <t>RANITIDIN TAB</t>
  </si>
  <si>
    <t>OMEPRAZOLE CAPS 20 MG</t>
  </si>
  <si>
    <t>ONDANSENTRON TAB</t>
  </si>
  <si>
    <t>MOLAGIT TAB</t>
  </si>
  <si>
    <t>LOPERAMID TAB</t>
  </si>
  <si>
    <t>FLUCADEX TAB</t>
  </si>
  <si>
    <t>ETAFULSIN</t>
  </si>
  <si>
    <t>METOCLOPRAMIDE TAB 10 MG</t>
  </si>
  <si>
    <t>DOMPERIDON TAB 10 MG</t>
  </si>
  <si>
    <t>BUSCOPAN TAB</t>
  </si>
  <si>
    <t>SPASMINAL TAB</t>
  </si>
  <si>
    <t>SALBUTAMOL TAB</t>
  </si>
  <si>
    <t>VENTOLIN NEBUL</t>
  </si>
  <si>
    <t>NEUROBION TAB</t>
  </si>
  <si>
    <t>SANGOBION CAPS</t>
  </si>
  <si>
    <t>BECOM- ZET TAB</t>
  </si>
  <si>
    <t>ZINC TAB</t>
  </si>
  <si>
    <t>VIT. K TAB</t>
  </si>
  <si>
    <t>NEUROBION INJ</t>
  </si>
  <si>
    <t>CYANOCOBALAMIN INJ</t>
  </si>
  <si>
    <t>AQUABIDEST 60 ML</t>
  </si>
  <si>
    <t>RANITIDIN INJ</t>
  </si>
  <si>
    <t>DEXAMETHASONE INJ</t>
  </si>
  <si>
    <t>METAMIZOLE INJ</t>
  </si>
  <si>
    <t>ONDANSENTRON INJ</t>
  </si>
  <si>
    <t>CEFTRIAXONE INJ</t>
  </si>
  <si>
    <t>PEHACAIN INJ</t>
  </si>
  <si>
    <t>LIDOCAIN INJ</t>
  </si>
  <si>
    <t>ASAM TRANEKSAMAT INJ</t>
  </si>
  <si>
    <t>HYDROCORTISON CR</t>
  </si>
  <si>
    <t>BETAMETASONE CR</t>
  </si>
  <si>
    <t>KETOCONAZOLE CR</t>
  </si>
  <si>
    <t>MOLAKRIM</t>
  </si>
  <si>
    <t>GENTAMICIN SALEP</t>
  </si>
  <si>
    <t>ERLAMYCETIN TETES MATA</t>
  </si>
  <si>
    <t>ERLAMYCETIN TETES TELINGA</t>
  </si>
  <si>
    <t>NS 500 ML 0.9%</t>
  </si>
  <si>
    <t>RL 500 ML</t>
  </si>
  <si>
    <t>D5 500 ML</t>
  </si>
  <si>
    <t>PARACETAMOL INF</t>
  </si>
  <si>
    <t>INFUS SET</t>
  </si>
  <si>
    <t>IV CANNULA 20G</t>
  </si>
  <si>
    <t>IV CANNULA 22G</t>
  </si>
  <si>
    <t>PERBAN ELASTIS</t>
  </si>
  <si>
    <t>SPUIT 3 CC</t>
  </si>
  <si>
    <t>SPUIT 5 CC</t>
  </si>
  <si>
    <t>SPUIT 10 CC</t>
  </si>
  <si>
    <t>NEEDLE 23 G</t>
  </si>
  <si>
    <t>CATGUT PLAIN 3/0</t>
  </si>
  <si>
    <t>CATGUT PLAIN 4/0</t>
  </si>
  <si>
    <t>SILKAM 3/0</t>
  </si>
  <si>
    <t xml:space="preserve">HANDSCOON </t>
  </si>
  <si>
    <t>ETHYLCHLORIDE</t>
  </si>
  <si>
    <t>BOX</t>
  </si>
  <si>
    <t>AMP</t>
  </si>
  <si>
    <t>VIAL</t>
  </si>
  <si>
    <t>FLS</t>
  </si>
  <si>
    <t>TUBE</t>
  </si>
  <si>
    <t>PCS</t>
  </si>
  <si>
    <t>PARACETAMOL TAB 500 MG - MERSI</t>
  </si>
  <si>
    <t>ASAM MEFENAMAT TAB 500 MG - MERSI</t>
  </si>
  <si>
    <t xml:space="preserve"> - PHAPROSNATRIUM DICLOFENAK TAB 50 MG</t>
  </si>
  <si>
    <t>AMOXICILLIN TAB 500 MG - HEXPHARM JAYA</t>
  </si>
  <si>
    <t>CIPROFLOXACIN TAB 500 MG - HEXPHARM JAYA</t>
  </si>
  <si>
    <t>OMEPRAZOLE CAPS 20 MG - HEXPHARM JAYA</t>
  </si>
  <si>
    <t>CEFADROXIL CAPS 500 MG - HEXPHARM JAYA</t>
  </si>
  <si>
    <t>NOVACOLIN TAB</t>
  </si>
  <si>
    <t>AMBROXOL TAB - OGB PROMED</t>
  </si>
  <si>
    <t>DEXAMETHASONE TAB 0,5 MG - OGB PROMED</t>
  </si>
  <si>
    <t>METHYLPREDNISOLON TAB 4 MG - HEXPHARM JAYA</t>
  </si>
  <si>
    <t>CETIRIZIN TAB - HEXPARM JAYA</t>
  </si>
  <si>
    <t>DEXANTA TAB</t>
  </si>
  <si>
    <t>ONDANSENTRON TAB 8 MG - MAHAKAM</t>
  </si>
  <si>
    <t>PULAREX TAB</t>
  </si>
  <si>
    <t>ALPARA TAB</t>
  </si>
  <si>
    <t>DOMPERIDON TAB 10 MG - HEXPARM JAYA</t>
  </si>
  <si>
    <t>SPASMAL TAB - DARYA VARIA</t>
  </si>
  <si>
    <t>SALBUTAMOL TAB 2 MG - FM</t>
  </si>
  <si>
    <t>VENTASAL NEBUL</t>
  </si>
  <si>
    <t>NEUROMED TAB</t>
  </si>
  <si>
    <t>ETABION CAPS</t>
  </si>
  <si>
    <t>ZYFORT INJ</t>
  </si>
  <si>
    <t>WI 25 ML - OTSUKA</t>
  </si>
  <si>
    <t>RANITIDIN INJ - HEXPHARM JAYA</t>
  </si>
  <si>
    <t>DEXAMETHASONE INJ - PHAPROS</t>
  </si>
  <si>
    <t>METAMIZOLE INJ - BERNOFARM</t>
  </si>
  <si>
    <t>ONDANSENTRON INJ 4 MG - OGB NOVELL</t>
  </si>
  <si>
    <t>CEFTRIAXONE INJ - BERNOFARM</t>
  </si>
  <si>
    <t>PEHACAIN INJ - PHAPROS</t>
  </si>
  <si>
    <t>LIDOCAIN INJ - IPHA</t>
  </si>
  <si>
    <t>ASAM TRANEKSAMAT INJ - HEXPHARM JAYA</t>
  </si>
  <si>
    <t>LAFALOS CR</t>
  </si>
  <si>
    <t>NS 500 ML 0.9% - OTSUKA</t>
  </si>
  <si>
    <t>INFUS SET - OTSUKA</t>
  </si>
  <si>
    <t>RL 500 ML - OTSUKA</t>
  </si>
  <si>
    <t>D5 500 ML - OTSUKA</t>
  </si>
  <si>
    <t>PARACETAMOL INF - BERNOFARM</t>
  </si>
  <si>
    <t>IV CANNULA 20G - HOSPITECH</t>
  </si>
  <si>
    <t>IV CANNULA 22G - HOSPITECH</t>
  </si>
  <si>
    <t>SPUIT 3 CC - GIDCARE</t>
  </si>
  <si>
    <t>SPUIT 5 CC - GID CARE</t>
  </si>
  <si>
    <t>SPUIT 10 CC - GIDCARE</t>
  </si>
  <si>
    <t>HANDSCOON NON STERIL M</t>
  </si>
  <si>
    <t>HYDROCORTISON CR 1% - HEXPHARM JAYA</t>
  </si>
  <si>
    <t xml:space="preserve">NEEDLE 23 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</si>
</sst>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42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42" fontId="0" fillId="0" borderId="2" xfId="0" applyNumberFormat="1" applyBorder="1"/>
    <xf numFmtId="42" fontId="1" fillId="0" borderId="3" xfId="0" applyNumberFormat="1" applyFont="1" applyBorder="1" applyAlignment="1">
      <alignment horizontal="center"/>
    </xf>
    <xf numFmtId="42" fontId="1" fillId="0" borderId="4" xfId="0" applyNumberFormat="1" applyFont="1" applyBorder="1" applyAlignment="1">
      <alignment horizontal="center"/>
    </xf>
    <xf numFmtId="42" fontId="1" fillId="0" borderId="5" xfId="0" applyNumberFormat="1" applyFont="1" applyBorder="1" applyAlignment="1">
      <alignment horizontal="center"/>
    </xf>
    <xf numFmtId="42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CFBA-5319-4A44-9790-B9358B57F5B8}">
  <dimension ref="A1:I71"/>
  <sheetViews>
    <sheetView tabSelected="1" workbookViewId="0">
      <selection sqref="A1:I1"/>
    </sheetView>
  </sheetViews>
  <sheetFormatPr defaultRowHeight="15" x14ac:dyDescent="0.25"/>
  <cols>
    <col min="1" max="1" width="9.140625" style="6"/>
    <col min="2" max="2" width="29.42578125" bestFit="1" customWidth="1"/>
    <col min="3" max="3" width="31.42578125" bestFit="1" customWidth="1"/>
    <col min="4" max="5" width="9.140625" style="6"/>
    <col min="6" max="6" width="11.28515625" style="5" hidden="1" customWidth="1"/>
    <col min="7" max="7" width="0" hidden="1" customWidth="1"/>
    <col min="8" max="8" width="11.28515625" style="5" bestFit="1" customWidth="1"/>
    <col min="9" max="9" width="15" style="5" bestFit="1" customWidth="1"/>
  </cols>
  <sheetData>
    <row r="1" spans="1:9" x14ac:dyDescent="0.25">
      <c r="A1" s="1" t="s">
        <v>9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 t="s">
        <v>6</v>
      </c>
      <c r="H2" s="3" t="s">
        <v>7</v>
      </c>
      <c r="I2" s="3" t="s">
        <v>8</v>
      </c>
    </row>
    <row r="3" spans="1:9" x14ac:dyDescent="0.25">
      <c r="A3" s="7">
        <v>1</v>
      </c>
      <c r="B3" s="8" t="s">
        <v>10</v>
      </c>
      <c r="C3" s="8" t="s">
        <v>84</v>
      </c>
      <c r="D3" s="7">
        <v>100</v>
      </c>
      <c r="E3" s="7" t="s">
        <v>78</v>
      </c>
      <c r="F3" s="9">
        <v>15180</v>
      </c>
      <c r="G3" s="8">
        <v>25</v>
      </c>
      <c r="H3" s="9">
        <f>(F3-(F3*G3/100))*1.11</f>
        <v>12637.35</v>
      </c>
      <c r="I3" s="9">
        <f>H3*D3</f>
        <v>1263735</v>
      </c>
    </row>
    <row r="4" spans="1:9" x14ac:dyDescent="0.25">
      <c r="A4" s="7">
        <v>2</v>
      </c>
      <c r="B4" s="8" t="s">
        <v>11</v>
      </c>
      <c r="C4" s="8" t="s">
        <v>85</v>
      </c>
      <c r="D4" s="7">
        <v>100</v>
      </c>
      <c r="E4" s="7" t="s">
        <v>78</v>
      </c>
      <c r="F4" s="9">
        <v>18100</v>
      </c>
      <c r="G4" s="8">
        <v>7.5</v>
      </c>
      <c r="H4" s="9">
        <f t="shared" ref="H4:H67" si="0">(F4-(F4*G4/100))*1.11</f>
        <v>18584.175000000003</v>
      </c>
      <c r="I4" s="9">
        <f t="shared" ref="I4:I67" si="1">H4*D4</f>
        <v>1858417.5000000002</v>
      </c>
    </row>
    <row r="5" spans="1:9" x14ac:dyDescent="0.25">
      <c r="A5" s="7">
        <v>3</v>
      </c>
      <c r="B5" s="8" t="s">
        <v>12</v>
      </c>
      <c r="C5" s="8" t="s">
        <v>86</v>
      </c>
      <c r="D5" s="7">
        <v>100</v>
      </c>
      <c r="E5" s="7" t="s">
        <v>78</v>
      </c>
      <c r="F5" s="9">
        <v>8500</v>
      </c>
      <c r="G5" s="8"/>
      <c r="H5" s="9">
        <f t="shared" si="0"/>
        <v>9435</v>
      </c>
      <c r="I5" s="9">
        <f t="shared" si="1"/>
        <v>943500</v>
      </c>
    </row>
    <row r="6" spans="1:9" x14ac:dyDescent="0.25">
      <c r="A6" s="7">
        <v>4</v>
      </c>
      <c r="B6" s="8" t="s">
        <v>13</v>
      </c>
      <c r="C6" s="8" t="s">
        <v>87</v>
      </c>
      <c r="D6" s="7">
        <v>100</v>
      </c>
      <c r="E6" s="7" t="s">
        <v>78</v>
      </c>
      <c r="F6" s="9">
        <v>122000</v>
      </c>
      <c r="G6" s="8">
        <v>36.18</v>
      </c>
      <c r="H6" s="9">
        <f t="shared" si="0"/>
        <v>86425.043999999994</v>
      </c>
      <c r="I6" s="9">
        <f t="shared" si="1"/>
        <v>8642504.3999999985</v>
      </c>
    </row>
    <row r="7" spans="1:9" x14ac:dyDescent="0.25">
      <c r="A7" s="7">
        <v>5</v>
      </c>
      <c r="B7" s="8" t="s">
        <v>14</v>
      </c>
      <c r="C7" s="8"/>
      <c r="D7" s="7">
        <v>100</v>
      </c>
      <c r="E7" s="7" t="s">
        <v>78</v>
      </c>
      <c r="F7" s="9"/>
      <c r="G7" s="8"/>
      <c r="H7" s="9"/>
      <c r="I7" s="9"/>
    </row>
    <row r="8" spans="1:9" x14ac:dyDescent="0.25">
      <c r="A8" s="7">
        <v>6</v>
      </c>
      <c r="B8" s="8" t="s">
        <v>15</v>
      </c>
      <c r="C8" s="8" t="s">
        <v>88</v>
      </c>
      <c r="D8" s="7">
        <v>100</v>
      </c>
      <c r="E8" s="7" t="s">
        <v>78</v>
      </c>
      <c r="F8" s="9">
        <v>50000</v>
      </c>
      <c r="G8" s="8">
        <v>32</v>
      </c>
      <c r="H8" s="9">
        <f>(F8-(F8*G8/100))*1.11</f>
        <v>37740</v>
      </c>
      <c r="I8" s="9">
        <f>H8*D7</f>
        <v>3774000</v>
      </c>
    </row>
    <row r="9" spans="1:9" x14ac:dyDescent="0.25">
      <c r="A9" s="7">
        <v>7</v>
      </c>
      <c r="B9" s="8" t="s">
        <v>16</v>
      </c>
      <c r="C9" s="8" t="s">
        <v>90</v>
      </c>
      <c r="D9" s="7">
        <v>100</v>
      </c>
      <c r="E9" s="7" t="s">
        <v>78</v>
      </c>
      <c r="F9" s="9">
        <v>110000</v>
      </c>
      <c r="G9" s="8">
        <v>30</v>
      </c>
      <c r="H9" s="9">
        <f t="shared" si="0"/>
        <v>85470.000000000015</v>
      </c>
      <c r="I9" s="9">
        <f t="shared" si="1"/>
        <v>8547000.0000000019</v>
      </c>
    </row>
    <row r="10" spans="1:9" x14ac:dyDescent="0.25">
      <c r="A10" s="7">
        <v>8</v>
      </c>
      <c r="B10" s="8" t="s">
        <v>17</v>
      </c>
      <c r="C10" s="8" t="s">
        <v>91</v>
      </c>
      <c r="D10" s="7">
        <v>100</v>
      </c>
      <c r="E10" s="7" t="s">
        <v>78</v>
      </c>
      <c r="F10" s="9">
        <v>32973</v>
      </c>
      <c r="G10" s="8">
        <v>14</v>
      </c>
      <c r="H10" s="9">
        <f t="shared" ref="H10" si="2">(F10-(F10*G10/100))*1.11</f>
        <v>31476.025800000003</v>
      </c>
      <c r="I10" s="9">
        <f t="shared" ref="I10" si="3">H10*D10</f>
        <v>3147602.58</v>
      </c>
    </row>
    <row r="11" spans="1:9" x14ac:dyDescent="0.25">
      <c r="A11" s="7">
        <v>9</v>
      </c>
      <c r="B11" s="8" t="s">
        <v>18</v>
      </c>
      <c r="C11" s="8" t="s">
        <v>92</v>
      </c>
      <c r="D11" s="7">
        <v>100</v>
      </c>
      <c r="E11" s="7" t="s">
        <v>78</v>
      </c>
      <c r="F11" s="9">
        <v>24000</v>
      </c>
      <c r="G11" s="8">
        <v>30</v>
      </c>
      <c r="H11" s="9">
        <f t="shared" si="0"/>
        <v>18648</v>
      </c>
      <c r="I11" s="9">
        <f t="shared" si="1"/>
        <v>1864800</v>
      </c>
    </row>
    <row r="12" spans="1:9" x14ac:dyDescent="0.25">
      <c r="A12" s="7">
        <v>10</v>
      </c>
      <c r="B12" s="8" t="s">
        <v>19</v>
      </c>
      <c r="C12" s="8" t="s">
        <v>19</v>
      </c>
      <c r="D12" s="7">
        <v>100</v>
      </c>
      <c r="E12" s="7" t="s">
        <v>78</v>
      </c>
      <c r="F12" s="9">
        <v>6396</v>
      </c>
      <c r="G12" s="8">
        <v>30</v>
      </c>
      <c r="H12" s="9">
        <f t="shared" si="0"/>
        <v>4969.692</v>
      </c>
      <c r="I12" s="9">
        <f t="shared" si="1"/>
        <v>496969.2</v>
      </c>
    </row>
    <row r="13" spans="1:9" x14ac:dyDescent="0.25">
      <c r="A13" s="7">
        <v>11</v>
      </c>
      <c r="B13" s="8" t="s">
        <v>20</v>
      </c>
      <c r="C13" s="8" t="s">
        <v>20</v>
      </c>
      <c r="D13" s="7">
        <v>100</v>
      </c>
      <c r="E13" s="7" t="s">
        <v>78</v>
      </c>
      <c r="F13" s="9">
        <v>9300</v>
      </c>
      <c r="G13" s="8">
        <v>30</v>
      </c>
      <c r="H13" s="9">
        <f t="shared" si="0"/>
        <v>7226.1</v>
      </c>
      <c r="I13" s="9">
        <f t="shared" si="1"/>
        <v>722610</v>
      </c>
    </row>
    <row r="14" spans="1:9" x14ac:dyDescent="0.25">
      <c r="A14" s="7">
        <v>12</v>
      </c>
      <c r="B14" s="8" t="s">
        <v>21</v>
      </c>
      <c r="C14" s="8" t="s">
        <v>93</v>
      </c>
      <c r="D14" s="7">
        <v>100</v>
      </c>
      <c r="E14" s="7" t="s">
        <v>78</v>
      </c>
      <c r="F14" s="9">
        <v>20000</v>
      </c>
      <c r="G14" s="8">
        <v>30</v>
      </c>
      <c r="H14" s="9">
        <f t="shared" si="0"/>
        <v>15540.000000000002</v>
      </c>
      <c r="I14" s="9">
        <f t="shared" si="1"/>
        <v>1554000.0000000002</v>
      </c>
    </row>
    <row r="15" spans="1:9" x14ac:dyDescent="0.25">
      <c r="A15" s="7">
        <v>13</v>
      </c>
      <c r="B15" s="8" t="s">
        <v>22</v>
      </c>
      <c r="C15" s="8" t="s">
        <v>94</v>
      </c>
      <c r="D15" s="7">
        <v>100</v>
      </c>
      <c r="E15" s="7" t="s">
        <v>78</v>
      </c>
      <c r="F15" s="9">
        <v>45000</v>
      </c>
      <c r="G15" s="8">
        <v>58.77</v>
      </c>
      <c r="H15" s="9">
        <f t="shared" si="0"/>
        <v>20594.385000000002</v>
      </c>
      <c r="I15" s="9">
        <f t="shared" si="1"/>
        <v>2059438.5000000002</v>
      </c>
    </row>
    <row r="16" spans="1:9" x14ac:dyDescent="0.25">
      <c r="A16" s="7">
        <v>14</v>
      </c>
      <c r="B16" s="8" t="s">
        <v>23</v>
      </c>
      <c r="C16" s="8" t="s">
        <v>95</v>
      </c>
      <c r="D16" s="7">
        <v>100</v>
      </c>
      <c r="E16" s="7" t="s">
        <v>78</v>
      </c>
      <c r="F16" s="9">
        <v>30000</v>
      </c>
      <c r="G16" s="8">
        <v>35</v>
      </c>
      <c r="H16" s="9">
        <f t="shared" si="0"/>
        <v>21645.000000000004</v>
      </c>
      <c r="I16" s="9">
        <f t="shared" si="1"/>
        <v>2164500.0000000005</v>
      </c>
    </row>
    <row r="17" spans="1:9" x14ac:dyDescent="0.25">
      <c r="A17" s="7">
        <v>15</v>
      </c>
      <c r="B17" s="8" t="s">
        <v>24</v>
      </c>
      <c r="C17" s="8" t="s">
        <v>96</v>
      </c>
      <c r="D17" s="7">
        <v>100</v>
      </c>
      <c r="E17" s="7" t="s">
        <v>78</v>
      </c>
      <c r="F17" s="9">
        <v>18750</v>
      </c>
      <c r="G17" s="8"/>
      <c r="H17" s="9">
        <f t="shared" si="0"/>
        <v>20812.500000000004</v>
      </c>
      <c r="I17" s="9">
        <f t="shared" si="1"/>
        <v>2081250.0000000005</v>
      </c>
    </row>
    <row r="18" spans="1:9" x14ac:dyDescent="0.25">
      <c r="A18" s="7">
        <v>16</v>
      </c>
      <c r="B18" s="8" t="s">
        <v>25</v>
      </c>
      <c r="C18" s="8" t="s">
        <v>25</v>
      </c>
      <c r="D18" s="7">
        <v>100</v>
      </c>
      <c r="E18" s="7" t="s">
        <v>78</v>
      </c>
      <c r="F18" s="9">
        <v>30000</v>
      </c>
      <c r="G18" s="8">
        <v>35</v>
      </c>
      <c r="H18" s="9">
        <f t="shared" si="0"/>
        <v>21645.000000000004</v>
      </c>
      <c r="I18" s="9">
        <f t="shared" si="1"/>
        <v>2164500.0000000005</v>
      </c>
    </row>
    <row r="19" spans="1:9" x14ac:dyDescent="0.25">
      <c r="A19" s="7">
        <v>17</v>
      </c>
      <c r="B19" s="8" t="s">
        <v>26</v>
      </c>
      <c r="C19" s="8" t="s">
        <v>89</v>
      </c>
      <c r="D19" s="7">
        <v>100</v>
      </c>
      <c r="E19" s="7" t="s">
        <v>78</v>
      </c>
      <c r="F19" s="9">
        <v>95000</v>
      </c>
      <c r="G19" s="8">
        <v>17</v>
      </c>
      <c r="H19" s="9">
        <f t="shared" si="0"/>
        <v>87523.500000000015</v>
      </c>
      <c r="I19" s="9">
        <f t="shared" si="1"/>
        <v>8752350.0000000019</v>
      </c>
    </row>
    <row r="20" spans="1:9" x14ac:dyDescent="0.25">
      <c r="A20" s="7">
        <v>18</v>
      </c>
      <c r="B20" s="8" t="s">
        <v>27</v>
      </c>
      <c r="C20" s="8" t="s">
        <v>97</v>
      </c>
      <c r="D20" s="7">
        <v>100</v>
      </c>
      <c r="E20" s="7" t="s">
        <v>78</v>
      </c>
      <c r="F20" s="9">
        <v>30000</v>
      </c>
      <c r="G20" s="8">
        <v>50</v>
      </c>
      <c r="H20" s="9">
        <f t="shared" si="0"/>
        <v>16650</v>
      </c>
      <c r="I20" s="9">
        <f t="shared" si="1"/>
        <v>1665000</v>
      </c>
    </row>
    <row r="21" spans="1:9" x14ac:dyDescent="0.25">
      <c r="A21" s="7">
        <v>19</v>
      </c>
      <c r="B21" s="8" t="s">
        <v>28</v>
      </c>
      <c r="C21" s="8" t="s">
        <v>98</v>
      </c>
      <c r="D21" s="7">
        <v>100</v>
      </c>
      <c r="E21" s="7" t="s">
        <v>78</v>
      </c>
      <c r="F21" s="9">
        <v>24775</v>
      </c>
      <c r="G21" s="8">
        <v>14</v>
      </c>
      <c r="H21" s="9">
        <f t="shared" si="0"/>
        <v>23650.215000000004</v>
      </c>
      <c r="I21" s="9">
        <f t="shared" si="1"/>
        <v>2365021.5000000005</v>
      </c>
    </row>
    <row r="22" spans="1:9" x14ac:dyDescent="0.25">
      <c r="A22" s="7">
        <v>20</v>
      </c>
      <c r="B22" s="8" t="s">
        <v>29</v>
      </c>
      <c r="C22" s="8"/>
      <c r="D22" s="7">
        <v>100</v>
      </c>
      <c r="E22" s="7" t="s">
        <v>78</v>
      </c>
      <c r="F22" s="9"/>
      <c r="G22" s="8"/>
      <c r="H22" s="9">
        <f t="shared" si="0"/>
        <v>0</v>
      </c>
      <c r="I22" s="9">
        <f t="shared" si="1"/>
        <v>0</v>
      </c>
    </row>
    <row r="23" spans="1:9" x14ac:dyDescent="0.25">
      <c r="A23" s="7">
        <v>21</v>
      </c>
      <c r="B23" s="8" t="s">
        <v>30</v>
      </c>
      <c r="C23" s="8" t="s">
        <v>99</v>
      </c>
      <c r="D23" s="7">
        <v>100</v>
      </c>
      <c r="E23" s="7" t="s">
        <v>78</v>
      </c>
      <c r="F23" s="9">
        <v>115000</v>
      </c>
      <c r="G23" s="8">
        <v>21.5</v>
      </c>
      <c r="H23" s="9">
        <f t="shared" si="0"/>
        <v>100205.25000000001</v>
      </c>
      <c r="I23" s="9">
        <f t="shared" si="1"/>
        <v>10020525.000000002</v>
      </c>
    </row>
    <row r="24" spans="1:9" x14ac:dyDescent="0.25">
      <c r="A24" s="7">
        <v>22</v>
      </c>
      <c r="B24" s="8" t="s">
        <v>31</v>
      </c>
      <c r="C24" s="8"/>
      <c r="D24" s="7">
        <v>100</v>
      </c>
      <c r="E24" s="7" t="s">
        <v>78</v>
      </c>
      <c r="F24" s="9"/>
      <c r="G24" s="8"/>
      <c r="H24" s="9">
        <f t="shared" si="0"/>
        <v>0</v>
      </c>
      <c r="I24" s="9">
        <f t="shared" si="1"/>
        <v>0</v>
      </c>
    </row>
    <row r="25" spans="1:9" x14ac:dyDescent="0.25">
      <c r="A25" s="7">
        <v>23</v>
      </c>
      <c r="B25" s="8" t="s">
        <v>32</v>
      </c>
      <c r="C25" s="8"/>
      <c r="D25" s="7">
        <v>100</v>
      </c>
      <c r="E25" s="7" t="s">
        <v>78</v>
      </c>
      <c r="F25" s="9"/>
      <c r="G25" s="8"/>
      <c r="H25" s="9">
        <f t="shared" si="0"/>
        <v>0</v>
      </c>
      <c r="I25" s="9">
        <f t="shared" si="1"/>
        <v>0</v>
      </c>
    </row>
    <row r="26" spans="1:9" x14ac:dyDescent="0.25">
      <c r="A26" s="7">
        <v>24</v>
      </c>
      <c r="B26" s="8" t="s">
        <v>33</v>
      </c>
      <c r="C26" s="8" t="s">
        <v>100</v>
      </c>
      <c r="D26" s="7">
        <v>100</v>
      </c>
      <c r="E26" s="7" t="s">
        <v>78</v>
      </c>
      <c r="F26" s="9">
        <v>33000</v>
      </c>
      <c r="G26" s="8">
        <v>30</v>
      </c>
      <c r="H26" s="9">
        <f t="shared" si="0"/>
        <v>25641.000000000004</v>
      </c>
      <c r="I26" s="9">
        <f t="shared" si="1"/>
        <v>2564100.0000000005</v>
      </c>
    </row>
    <row r="27" spans="1:9" x14ac:dyDescent="0.25">
      <c r="A27" s="7">
        <v>25</v>
      </c>
      <c r="B27" s="8" t="s">
        <v>34</v>
      </c>
      <c r="C27" s="8"/>
      <c r="D27" s="7">
        <v>100</v>
      </c>
      <c r="E27" s="7" t="s">
        <v>78</v>
      </c>
      <c r="F27" s="9"/>
      <c r="G27" s="8"/>
      <c r="H27" s="9">
        <f t="shared" si="0"/>
        <v>0</v>
      </c>
      <c r="I27" s="9">
        <f t="shared" si="1"/>
        <v>0</v>
      </c>
    </row>
    <row r="28" spans="1:9" x14ac:dyDescent="0.25">
      <c r="A28" s="7">
        <v>26</v>
      </c>
      <c r="B28" s="8" t="s">
        <v>35</v>
      </c>
      <c r="C28" s="8" t="s">
        <v>101</v>
      </c>
      <c r="D28" s="7">
        <v>100</v>
      </c>
      <c r="E28" s="7" t="s">
        <v>78</v>
      </c>
      <c r="F28" s="9">
        <v>255000</v>
      </c>
      <c r="G28" s="8">
        <v>10</v>
      </c>
      <c r="H28" s="9">
        <f t="shared" si="0"/>
        <v>254745.00000000003</v>
      </c>
      <c r="I28" s="9">
        <f t="shared" si="1"/>
        <v>25474500.000000004</v>
      </c>
    </row>
    <row r="29" spans="1:9" x14ac:dyDescent="0.25">
      <c r="A29" s="7">
        <v>27</v>
      </c>
      <c r="B29" s="8" t="s">
        <v>36</v>
      </c>
      <c r="C29" s="8" t="s">
        <v>102</v>
      </c>
      <c r="D29" s="7">
        <v>100</v>
      </c>
      <c r="E29" s="7" t="s">
        <v>78</v>
      </c>
      <c r="F29" s="9">
        <v>24568</v>
      </c>
      <c r="G29" s="8">
        <v>50</v>
      </c>
      <c r="H29" s="9">
        <f t="shared" si="0"/>
        <v>13635.240000000002</v>
      </c>
      <c r="I29" s="9">
        <f t="shared" si="1"/>
        <v>1363524.0000000002</v>
      </c>
    </row>
    <row r="30" spans="1:9" x14ac:dyDescent="0.25">
      <c r="A30" s="7">
        <v>28</v>
      </c>
      <c r="B30" s="8" t="s">
        <v>37</v>
      </c>
      <c r="C30" s="8" t="s">
        <v>103</v>
      </c>
      <c r="D30" s="7">
        <v>100</v>
      </c>
      <c r="E30" s="7" t="s">
        <v>79</v>
      </c>
      <c r="F30" s="9">
        <v>7000</v>
      </c>
      <c r="G30" s="8">
        <v>50</v>
      </c>
      <c r="H30" s="9">
        <f t="shared" si="0"/>
        <v>3885.0000000000005</v>
      </c>
      <c r="I30" s="9">
        <f t="shared" si="1"/>
        <v>388500.00000000006</v>
      </c>
    </row>
    <row r="31" spans="1:9" x14ac:dyDescent="0.25">
      <c r="A31" s="7">
        <v>29</v>
      </c>
      <c r="B31" s="8" t="s">
        <v>38</v>
      </c>
      <c r="C31" s="8" t="s">
        <v>104</v>
      </c>
      <c r="D31" s="7">
        <v>200</v>
      </c>
      <c r="E31" s="7" t="s">
        <v>78</v>
      </c>
      <c r="F31" s="9">
        <v>280000</v>
      </c>
      <c r="G31" s="8">
        <v>15</v>
      </c>
      <c r="H31" s="9">
        <f t="shared" si="0"/>
        <v>264180</v>
      </c>
      <c r="I31" s="9">
        <f t="shared" si="1"/>
        <v>52836000</v>
      </c>
    </row>
    <row r="32" spans="1:9" x14ac:dyDescent="0.25">
      <c r="A32" s="7">
        <v>30</v>
      </c>
      <c r="B32" s="8" t="s">
        <v>39</v>
      </c>
      <c r="C32" s="8" t="s">
        <v>105</v>
      </c>
      <c r="D32" s="7">
        <v>200</v>
      </c>
      <c r="E32" s="7" t="s">
        <v>78</v>
      </c>
      <c r="F32" s="9">
        <v>25000</v>
      </c>
      <c r="G32" s="8"/>
      <c r="H32" s="9">
        <f t="shared" si="0"/>
        <v>27750.000000000004</v>
      </c>
      <c r="I32" s="9">
        <f t="shared" si="1"/>
        <v>5550000.0000000009</v>
      </c>
    </row>
    <row r="33" spans="1:9" x14ac:dyDescent="0.25">
      <c r="A33" s="7">
        <v>31</v>
      </c>
      <c r="B33" s="8" t="s">
        <v>40</v>
      </c>
      <c r="C33" s="8"/>
      <c r="D33" s="7">
        <v>300</v>
      </c>
      <c r="E33" s="7" t="s">
        <v>78</v>
      </c>
      <c r="F33" s="9"/>
      <c r="G33" s="8"/>
      <c r="H33" s="9">
        <f t="shared" si="0"/>
        <v>0</v>
      </c>
      <c r="I33" s="9">
        <f t="shared" si="1"/>
        <v>0</v>
      </c>
    </row>
    <row r="34" spans="1:9" x14ac:dyDescent="0.25">
      <c r="A34" s="7">
        <v>32</v>
      </c>
      <c r="B34" s="8" t="s">
        <v>41</v>
      </c>
      <c r="C34" s="8" t="s">
        <v>41</v>
      </c>
      <c r="D34" s="7">
        <v>200</v>
      </c>
      <c r="E34" s="7" t="s">
        <v>78</v>
      </c>
      <c r="F34" s="9">
        <v>22523</v>
      </c>
      <c r="G34" s="8">
        <v>10</v>
      </c>
      <c r="H34" s="9">
        <f t="shared" si="0"/>
        <v>22500.477000000003</v>
      </c>
      <c r="I34" s="9">
        <f t="shared" si="1"/>
        <v>4500095.4000000004</v>
      </c>
    </row>
    <row r="35" spans="1:9" x14ac:dyDescent="0.25">
      <c r="A35" s="7">
        <v>33</v>
      </c>
      <c r="B35" s="8" t="s">
        <v>42</v>
      </c>
      <c r="C35" s="8"/>
      <c r="D35" s="7">
        <v>100</v>
      </c>
      <c r="E35" s="7" t="s">
        <v>78</v>
      </c>
      <c r="F35" s="9"/>
      <c r="G35" s="8"/>
      <c r="H35" s="9">
        <f t="shared" si="0"/>
        <v>0</v>
      </c>
      <c r="I35" s="9">
        <f t="shared" si="1"/>
        <v>0</v>
      </c>
    </row>
    <row r="36" spans="1:9" x14ac:dyDescent="0.25">
      <c r="A36" s="7">
        <v>34</v>
      </c>
      <c r="B36" s="8" t="s">
        <v>43</v>
      </c>
      <c r="C36" s="8" t="s">
        <v>106</v>
      </c>
      <c r="D36" s="7">
        <v>200</v>
      </c>
      <c r="E36" s="7" t="s">
        <v>79</v>
      </c>
      <c r="F36" s="9">
        <v>5750</v>
      </c>
      <c r="G36" s="8">
        <v>20</v>
      </c>
      <c r="H36" s="9">
        <f t="shared" si="0"/>
        <v>5106</v>
      </c>
      <c r="I36" s="9">
        <f t="shared" si="1"/>
        <v>1021200</v>
      </c>
    </row>
    <row r="37" spans="1:9" x14ac:dyDescent="0.25">
      <c r="A37" s="7">
        <v>35</v>
      </c>
      <c r="B37" s="8" t="s">
        <v>44</v>
      </c>
      <c r="C37" s="8"/>
      <c r="D37" s="7">
        <v>300</v>
      </c>
      <c r="E37" s="7" t="s">
        <v>80</v>
      </c>
      <c r="F37" s="9"/>
      <c r="G37" s="8"/>
      <c r="H37" s="9">
        <f t="shared" si="0"/>
        <v>0</v>
      </c>
      <c r="I37" s="9">
        <f t="shared" si="1"/>
        <v>0</v>
      </c>
    </row>
    <row r="38" spans="1:9" x14ac:dyDescent="0.25">
      <c r="A38" s="7">
        <v>36</v>
      </c>
      <c r="B38" s="8" t="s">
        <v>45</v>
      </c>
      <c r="C38" s="8" t="s">
        <v>107</v>
      </c>
      <c r="D38" s="7">
        <v>100</v>
      </c>
      <c r="E38" s="7" t="s">
        <v>81</v>
      </c>
      <c r="F38" s="9">
        <v>2662</v>
      </c>
      <c r="G38" s="8">
        <v>10</v>
      </c>
      <c r="H38" s="9">
        <f t="shared" si="0"/>
        <v>2659.3380000000006</v>
      </c>
      <c r="I38" s="9">
        <f t="shared" si="1"/>
        <v>265933.80000000005</v>
      </c>
    </row>
    <row r="39" spans="1:9" x14ac:dyDescent="0.25">
      <c r="A39" s="7">
        <v>37</v>
      </c>
      <c r="B39" s="8" t="s">
        <v>46</v>
      </c>
      <c r="C39" s="8" t="s">
        <v>108</v>
      </c>
      <c r="D39" s="7">
        <v>100</v>
      </c>
      <c r="E39" s="7" t="s">
        <v>79</v>
      </c>
      <c r="F39" s="9">
        <v>3500</v>
      </c>
      <c r="G39" s="8">
        <v>20</v>
      </c>
      <c r="H39" s="9">
        <f t="shared" si="0"/>
        <v>3108.0000000000005</v>
      </c>
      <c r="I39" s="9">
        <f t="shared" si="1"/>
        <v>310800.00000000006</v>
      </c>
    </row>
    <row r="40" spans="1:9" x14ac:dyDescent="0.25">
      <c r="A40" s="7">
        <v>38</v>
      </c>
      <c r="B40" s="8" t="s">
        <v>47</v>
      </c>
      <c r="C40" s="8" t="s">
        <v>109</v>
      </c>
      <c r="D40" s="7">
        <v>100</v>
      </c>
      <c r="E40" s="7" t="s">
        <v>79</v>
      </c>
      <c r="F40" s="9">
        <v>1600</v>
      </c>
      <c r="G40" s="8"/>
      <c r="H40" s="9">
        <f t="shared" si="0"/>
        <v>1776.0000000000002</v>
      </c>
      <c r="I40" s="9">
        <f t="shared" si="1"/>
        <v>177600.00000000003</v>
      </c>
    </row>
    <row r="41" spans="1:9" x14ac:dyDescent="0.25">
      <c r="A41" s="7">
        <v>39</v>
      </c>
      <c r="B41" s="8" t="s">
        <v>48</v>
      </c>
      <c r="C41" s="8" t="s">
        <v>110</v>
      </c>
      <c r="D41" s="7">
        <v>450</v>
      </c>
      <c r="E41" s="7" t="s">
        <v>79</v>
      </c>
      <c r="F41" s="9">
        <v>4000</v>
      </c>
      <c r="G41" s="8">
        <v>20</v>
      </c>
      <c r="H41" s="9">
        <f t="shared" si="0"/>
        <v>3552.0000000000005</v>
      </c>
      <c r="I41" s="9">
        <f t="shared" si="1"/>
        <v>1598400.0000000002</v>
      </c>
    </row>
    <row r="42" spans="1:9" x14ac:dyDescent="0.25">
      <c r="A42" s="7">
        <v>40</v>
      </c>
      <c r="B42" s="8" t="s">
        <v>49</v>
      </c>
      <c r="C42" s="8" t="s">
        <v>111</v>
      </c>
      <c r="D42" s="7">
        <v>200</v>
      </c>
      <c r="E42" s="7" t="s">
        <v>79</v>
      </c>
      <c r="F42" s="9">
        <v>7000</v>
      </c>
      <c r="G42" s="8">
        <v>23</v>
      </c>
      <c r="H42" s="9">
        <f t="shared" si="0"/>
        <v>5982.9000000000005</v>
      </c>
      <c r="I42" s="9">
        <f t="shared" si="1"/>
        <v>1196580</v>
      </c>
    </row>
    <row r="43" spans="1:9" x14ac:dyDescent="0.25">
      <c r="A43" s="7">
        <v>41</v>
      </c>
      <c r="B43" s="8" t="s">
        <v>50</v>
      </c>
      <c r="C43" s="8" t="s">
        <v>112</v>
      </c>
      <c r="D43" s="7">
        <v>50</v>
      </c>
      <c r="E43" s="7" t="s">
        <v>79</v>
      </c>
      <c r="F43" s="9">
        <v>30000</v>
      </c>
      <c r="G43" s="8">
        <v>80.8</v>
      </c>
      <c r="H43" s="9">
        <f t="shared" si="0"/>
        <v>6393.6</v>
      </c>
      <c r="I43" s="9">
        <f t="shared" si="1"/>
        <v>319680</v>
      </c>
    </row>
    <row r="44" spans="1:9" x14ac:dyDescent="0.25">
      <c r="A44" s="7">
        <v>42</v>
      </c>
      <c r="B44" s="8" t="s">
        <v>51</v>
      </c>
      <c r="C44" s="8" t="s">
        <v>113</v>
      </c>
      <c r="D44" s="7">
        <v>100</v>
      </c>
      <c r="E44" s="7" t="s">
        <v>79</v>
      </c>
      <c r="F44" s="9">
        <v>3340</v>
      </c>
      <c r="G44" s="8">
        <v>7</v>
      </c>
      <c r="H44" s="9">
        <f t="shared" si="0"/>
        <v>3447.8820000000001</v>
      </c>
      <c r="I44" s="9">
        <f t="shared" si="1"/>
        <v>344788.2</v>
      </c>
    </row>
    <row r="45" spans="1:9" x14ac:dyDescent="0.25">
      <c r="A45" s="7">
        <v>43</v>
      </c>
      <c r="B45" s="8" t="s">
        <v>52</v>
      </c>
      <c r="C45" s="8" t="s">
        <v>114</v>
      </c>
      <c r="D45" s="7">
        <v>100</v>
      </c>
      <c r="E45" s="7" t="s">
        <v>79</v>
      </c>
      <c r="F45" s="9">
        <v>2344</v>
      </c>
      <c r="G45" s="8">
        <v>35</v>
      </c>
      <c r="H45" s="9">
        <f t="shared" si="0"/>
        <v>1691.1960000000001</v>
      </c>
      <c r="I45" s="9">
        <f t="shared" si="1"/>
        <v>169119.6</v>
      </c>
    </row>
    <row r="46" spans="1:9" x14ac:dyDescent="0.25">
      <c r="A46" s="7">
        <v>44</v>
      </c>
      <c r="B46" s="8" t="s">
        <v>53</v>
      </c>
      <c r="C46" s="8" t="s">
        <v>115</v>
      </c>
      <c r="D46" s="7">
        <v>100</v>
      </c>
      <c r="E46" s="7" t="s">
        <v>79</v>
      </c>
      <c r="F46" s="9">
        <v>6000</v>
      </c>
      <c r="G46" s="8">
        <v>40</v>
      </c>
      <c r="H46" s="9">
        <f t="shared" si="0"/>
        <v>3996.0000000000005</v>
      </c>
      <c r="I46" s="9">
        <f t="shared" si="1"/>
        <v>399600.00000000006</v>
      </c>
    </row>
    <row r="47" spans="1:9" x14ac:dyDescent="0.25">
      <c r="A47" s="7">
        <v>45</v>
      </c>
      <c r="B47" s="8" t="s">
        <v>54</v>
      </c>
      <c r="C47" s="8" t="s">
        <v>128</v>
      </c>
      <c r="D47" s="7">
        <v>100</v>
      </c>
      <c r="E47" s="7" t="s">
        <v>82</v>
      </c>
      <c r="F47" s="9">
        <v>4000</v>
      </c>
      <c r="G47" s="8"/>
      <c r="H47" s="9">
        <f t="shared" si="0"/>
        <v>4440</v>
      </c>
      <c r="I47" s="9">
        <f t="shared" si="1"/>
        <v>444000</v>
      </c>
    </row>
    <row r="48" spans="1:9" x14ac:dyDescent="0.25">
      <c r="A48" s="7">
        <v>46</v>
      </c>
      <c r="B48" s="8" t="s">
        <v>55</v>
      </c>
      <c r="C48" s="8"/>
      <c r="D48" s="7">
        <v>100</v>
      </c>
      <c r="E48" s="7" t="s">
        <v>82</v>
      </c>
      <c r="F48" s="9"/>
      <c r="G48" s="8"/>
      <c r="H48" s="9">
        <f t="shared" si="0"/>
        <v>0</v>
      </c>
      <c r="I48" s="9">
        <f t="shared" si="1"/>
        <v>0</v>
      </c>
    </row>
    <row r="49" spans="1:9" x14ac:dyDescent="0.25">
      <c r="A49" s="7">
        <v>47</v>
      </c>
      <c r="B49" s="8" t="s">
        <v>56</v>
      </c>
      <c r="C49" s="8" t="s">
        <v>56</v>
      </c>
      <c r="D49" s="7">
        <v>100</v>
      </c>
      <c r="E49" s="7" t="s">
        <v>82</v>
      </c>
      <c r="F49" s="9">
        <v>5200</v>
      </c>
      <c r="G49" s="8"/>
      <c r="H49" s="9">
        <f t="shared" si="0"/>
        <v>5772.0000000000009</v>
      </c>
      <c r="I49" s="9">
        <f t="shared" si="1"/>
        <v>577200.00000000012</v>
      </c>
    </row>
    <row r="50" spans="1:9" x14ac:dyDescent="0.25">
      <c r="A50" s="7">
        <v>48</v>
      </c>
      <c r="B50" s="8" t="s">
        <v>57</v>
      </c>
      <c r="C50" s="8" t="s">
        <v>116</v>
      </c>
      <c r="D50" s="7">
        <v>100</v>
      </c>
      <c r="E50" s="7" t="s">
        <v>82</v>
      </c>
      <c r="F50" s="9">
        <v>13000</v>
      </c>
      <c r="G50" s="8">
        <v>3</v>
      </c>
      <c r="H50" s="9">
        <f t="shared" si="0"/>
        <v>13997.1</v>
      </c>
      <c r="I50" s="9">
        <f t="shared" si="1"/>
        <v>1399710</v>
      </c>
    </row>
    <row r="51" spans="1:9" x14ac:dyDescent="0.25">
      <c r="A51" s="7">
        <v>49</v>
      </c>
      <c r="B51" s="8" t="s">
        <v>58</v>
      </c>
      <c r="C51" s="8" t="s">
        <v>58</v>
      </c>
      <c r="D51" s="7">
        <v>100</v>
      </c>
      <c r="E51" s="7" t="s">
        <v>82</v>
      </c>
      <c r="F51" s="9">
        <v>2670</v>
      </c>
      <c r="G51" s="8">
        <v>50</v>
      </c>
      <c r="H51" s="9">
        <f t="shared" si="0"/>
        <v>1481.8500000000001</v>
      </c>
      <c r="I51" s="9">
        <f t="shared" si="1"/>
        <v>148185</v>
      </c>
    </row>
    <row r="52" spans="1:9" x14ac:dyDescent="0.25">
      <c r="A52" s="7">
        <v>50</v>
      </c>
      <c r="B52" s="8" t="s">
        <v>59</v>
      </c>
      <c r="C52" s="8" t="s">
        <v>59</v>
      </c>
      <c r="D52" s="7">
        <v>100</v>
      </c>
      <c r="E52" s="7" t="s">
        <v>81</v>
      </c>
      <c r="F52" s="9">
        <v>12600</v>
      </c>
      <c r="G52" s="8">
        <v>28.57</v>
      </c>
      <c r="H52" s="9">
        <f t="shared" si="0"/>
        <v>9990.1998000000003</v>
      </c>
      <c r="I52" s="9">
        <f t="shared" si="1"/>
        <v>999019.98</v>
      </c>
    </row>
    <row r="53" spans="1:9" x14ac:dyDescent="0.25">
      <c r="A53" s="7">
        <v>51</v>
      </c>
      <c r="B53" s="8" t="s">
        <v>60</v>
      </c>
      <c r="C53" s="8" t="s">
        <v>60</v>
      </c>
      <c r="D53" s="7">
        <v>100</v>
      </c>
      <c r="E53" s="7" t="s">
        <v>81</v>
      </c>
      <c r="F53" s="9">
        <v>13098</v>
      </c>
      <c r="G53" s="8">
        <v>20</v>
      </c>
      <c r="H53" s="9">
        <f t="shared" si="0"/>
        <v>11631.024000000001</v>
      </c>
      <c r="I53" s="9">
        <f t="shared" si="1"/>
        <v>1163102.4000000001</v>
      </c>
    </row>
    <row r="54" spans="1:9" x14ac:dyDescent="0.25">
      <c r="A54" s="7">
        <v>52</v>
      </c>
      <c r="B54" s="8" t="s">
        <v>61</v>
      </c>
      <c r="C54" s="8" t="s">
        <v>117</v>
      </c>
      <c r="D54" s="7">
        <v>1000</v>
      </c>
      <c r="E54" s="7" t="s">
        <v>81</v>
      </c>
      <c r="F54" s="9">
        <v>6913</v>
      </c>
      <c r="G54" s="8">
        <v>20</v>
      </c>
      <c r="H54" s="9">
        <f t="shared" si="0"/>
        <v>6138.7439999999997</v>
      </c>
      <c r="I54" s="9">
        <f t="shared" si="1"/>
        <v>6138744</v>
      </c>
    </row>
    <row r="55" spans="1:9" x14ac:dyDescent="0.25">
      <c r="A55" s="7">
        <v>53</v>
      </c>
      <c r="B55" s="8" t="s">
        <v>62</v>
      </c>
      <c r="C55" s="8" t="s">
        <v>119</v>
      </c>
      <c r="D55" s="7">
        <v>1000</v>
      </c>
      <c r="E55" s="7" t="s">
        <v>81</v>
      </c>
      <c r="F55" s="9">
        <v>7656</v>
      </c>
      <c r="G55" s="8">
        <v>20</v>
      </c>
      <c r="H55" s="9">
        <f t="shared" si="0"/>
        <v>6798.5280000000012</v>
      </c>
      <c r="I55" s="9">
        <f t="shared" si="1"/>
        <v>6798528.0000000009</v>
      </c>
    </row>
    <row r="56" spans="1:9" x14ac:dyDescent="0.25">
      <c r="A56" s="7">
        <v>54</v>
      </c>
      <c r="B56" s="8" t="s">
        <v>63</v>
      </c>
      <c r="C56" s="8" t="s">
        <v>120</v>
      </c>
      <c r="D56" s="7">
        <v>500</v>
      </c>
      <c r="E56" s="7" t="s">
        <v>81</v>
      </c>
      <c r="F56" s="9">
        <v>7685</v>
      </c>
      <c r="G56" s="8"/>
      <c r="H56" s="9">
        <f t="shared" si="0"/>
        <v>8530.35</v>
      </c>
      <c r="I56" s="9">
        <f t="shared" si="1"/>
        <v>4265175</v>
      </c>
    </row>
    <row r="57" spans="1:9" x14ac:dyDescent="0.25">
      <c r="A57" s="7">
        <v>55</v>
      </c>
      <c r="B57" s="8" t="s">
        <v>64</v>
      </c>
      <c r="C57" s="8" t="s">
        <v>121</v>
      </c>
      <c r="D57" s="7">
        <v>1000</v>
      </c>
      <c r="E57" s="7" t="s">
        <v>81</v>
      </c>
      <c r="F57" s="9">
        <v>50000</v>
      </c>
      <c r="G57" s="8">
        <v>70.900000000000006</v>
      </c>
      <c r="H57" s="9">
        <f t="shared" si="0"/>
        <v>16150.499999999993</v>
      </c>
      <c r="I57" s="9">
        <f t="shared" si="1"/>
        <v>16150499.999999993</v>
      </c>
    </row>
    <row r="58" spans="1:9" x14ac:dyDescent="0.25">
      <c r="A58" s="7">
        <v>56</v>
      </c>
      <c r="B58" s="8" t="s">
        <v>65</v>
      </c>
      <c r="C58" s="8" t="s">
        <v>118</v>
      </c>
      <c r="D58" s="7">
        <v>500</v>
      </c>
      <c r="E58" s="7" t="s">
        <v>83</v>
      </c>
      <c r="F58" s="9">
        <v>8500</v>
      </c>
      <c r="G58" s="8">
        <v>10</v>
      </c>
      <c r="H58" s="9">
        <f t="shared" si="0"/>
        <v>8491.5</v>
      </c>
      <c r="I58" s="9">
        <f t="shared" si="1"/>
        <v>4245750</v>
      </c>
    </row>
    <row r="59" spans="1:9" x14ac:dyDescent="0.25">
      <c r="A59" s="7">
        <v>57</v>
      </c>
      <c r="B59" s="8" t="s">
        <v>66</v>
      </c>
      <c r="C59" s="8" t="s">
        <v>122</v>
      </c>
      <c r="D59" s="7">
        <v>300</v>
      </c>
      <c r="E59" s="7" t="s">
        <v>83</v>
      </c>
      <c r="F59" s="9">
        <v>15500</v>
      </c>
      <c r="G59" s="8">
        <v>42</v>
      </c>
      <c r="H59" s="9">
        <f t="shared" si="0"/>
        <v>9978.9000000000015</v>
      </c>
      <c r="I59" s="9">
        <f t="shared" si="1"/>
        <v>2993670.0000000005</v>
      </c>
    </row>
    <row r="60" spans="1:9" x14ac:dyDescent="0.25">
      <c r="A60" s="7">
        <v>58</v>
      </c>
      <c r="B60" s="8" t="s">
        <v>67</v>
      </c>
      <c r="C60" s="8" t="s">
        <v>123</v>
      </c>
      <c r="D60" s="7">
        <v>300</v>
      </c>
      <c r="E60" s="7" t="s">
        <v>83</v>
      </c>
      <c r="F60" s="9">
        <v>15500</v>
      </c>
      <c r="G60" s="8">
        <v>42</v>
      </c>
      <c r="H60" s="9">
        <f t="shared" si="0"/>
        <v>9978.9000000000015</v>
      </c>
      <c r="I60" s="9">
        <f t="shared" si="1"/>
        <v>2993670.0000000005</v>
      </c>
    </row>
    <row r="61" spans="1:9" x14ac:dyDescent="0.25">
      <c r="A61" s="7">
        <v>59</v>
      </c>
      <c r="B61" s="8" t="s">
        <v>68</v>
      </c>
      <c r="C61" s="8"/>
      <c r="D61" s="7">
        <v>300</v>
      </c>
      <c r="E61" s="7" t="s">
        <v>83</v>
      </c>
      <c r="F61" s="9"/>
      <c r="G61" s="8"/>
      <c r="H61" s="9">
        <f t="shared" si="0"/>
        <v>0</v>
      </c>
      <c r="I61" s="9">
        <f t="shared" si="1"/>
        <v>0</v>
      </c>
    </row>
    <row r="62" spans="1:9" x14ac:dyDescent="0.25">
      <c r="A62" s="7">
        <v>60</v>
      </c>
      <c r="B62" s="8" t="s">
        <v>69</v>
      </c>
      <c r="C62" s="8" t="s">
        <v>124</v>
      </c>
      <c r="D62" s="7">
        <v>300</v>
      </c>
      <c r="E62" s="7" t="s">
        <v>83</v>
      </c>
      <c r="F62" s="9">
        <v>1200</v>
      </c>
      <c r="G62" s="8">
        <v>57</v>
      </c>
      <c r="H62" s="9">
        <f t="shared" si="0"/>
        <v>572.7600000000001</v>
      </c>
      <c r="I62" s="9">
        <f t="shared" si="1"/>
        <v>171828.00000000003</v>
      </c>
    </row>
    <row r="63" spans="1:9" x14ac:dyDescent="0.25">
      <c r="A63" s="7">
        <v>61</v>
      </c>
      <c r="B63" s="8" t="s">
        <v>70</v>
      </c>
      <c r="C63" s="8" t="s">
        <v>125</v>
      </c>
      <c r="D63" s="7">
        <v>300</v>
      </c>
      <c r="E63" s="7" t="s">
        <v>83</v>
      </c>
      <c r="F63" s="9">
        <v>1500</v>
      </c>
      <c r="G63" s="8">
        <v>61</v>
      </c>
      <c r="H63" s="9">
        <f t="shared" si="0"/>
        <v>649.35</v>
      </c>
      <c r="I63" s="9">
        <f t="shared" si="1"/>
        <v>194805</v>
      </c>
    </row>
    <row r="64" spans="1:9" x14ac:dyDescent="0.25">
      <c r="A64" s="7">
        <v>62</v>
      </c>
      <c r="B64" s="8" t="s">
        <v>71</v>
      </c>
      <c r="C64" s="8" t="s">
        <v>126</v>
      </c>
      <c r="D64" s="7">
        <v>300</v>
      </c>
      <c r="E64" s="7" t="s">
        <v>83</v>
      </c>
      <c r="F64" s="9">
        <v>1500</v>
      </c>
      <c r="G64" s="8">
        <v>46</v>
      </c>
      <c r="H64" s="9">
        <f t="shared" si="0"/>
        <v>899.1</v>
      </c>
      <c r="I64" s="9">
        <f t="shared" si="1"/>
        <v>269730</v>
      </c>
    </row>
    <row r="65" spans="1:9" x14ac:dyDescent="0.25">
      <c r="A65" s="7">
        <v>63</v>
      </c>
      <c r="B65" s="8" t="s">
        <v>72</v>
      </c>
      <c r="C65" s="8" t="s">
        <v>129</v>
      </c>
      <c r="D65" s="7">
        <v>200</v>
      </c>
      <c r="E65" s="7" t="s">
        <v>83</v>
      </c>
      <c r="F65" s="9">
        <v>1000</v>
      </c>
      <c r="G65" s="8"/>
      <c r="H65" s="9">
        <f t="shared" si="0"/>
        <v>1110</v>
      </c>
      <c r="I65" s="9">
        <f t="shared" si="1"/>
        <v>222000</v>
      </c>
    </row>
    <row r="66" spans="1:9" x14ac:dyDescent="0.25">
      <c r="A66" s="7">
        <v>64</v>
      </c>
      <c r="B66" s="8" t="s">
        <v>73</v>
      </c>
      <c r="C66" s="8"/>
      <c r="D66" s="7">
        <v>100</v>
      </c>
      <c r="E66" s="7" t="s">
        <v>83</v>
      </c>
      <c r="F66" s="9"/>
      <c r="G66" s="8"/>
      <c r="H66" s="9">
        <f t="shared" si="0"/>
        <v>0</v>
      </c>
      <c r="I66" s="9">
        <f t="shared" si="1"/>
        <v>0</v>
      </c>
    </row>
    <row r="67" spans="1:9" x14ac:dyDescent="0.25">
      <c r="A67" s="7">
        <v>65</v>
      </c>
      <c r="B67" s="8" t="s">
        <v>74</v>
      </c>
      <c r="C67" s="8"/>
      <c r="D67" s="7">
        <v>200</v>
      </c>
      <c r="E67" s="7" t="s">
        <v>83</v>
      </c>
      <c r="F67" s="9"/>
      <c r="G67" s="8"/>
      <c r="H67" s="9">
        <f t="shared" si="0"/>
        <v>0</v>
      </c>
      <c r="I67" s="9">
        <f t="shared" si="1"/>
        <v>0</v>
      </c>
    </row>
    <row r="68" spans="1:9" x14ac:dyDescent="0.25">
      <c r="A68" s="7">
        <v>66</v>
      </c>
      <c r="B68" s="8" t="s">
        <v>75</v>
      </c>
      <c r="C68" s="8"/>
      <c r="D68" s="7">
        <v>200</v>
      </c>
      <c r="E68" s="7" t="s">
        <v>83</v>
      </c>
      <c r="F68" s="9"/>
      <c r="G68" s="8"/>
      <c r="H68" s="9">
        <f t="shared" ref="H68:H70" si="4">(F68-(F68*G68/100))*1.11</f>
        <v>0</v>
      </c>
      <c r="I68" s="9">
        <f t="shared" ref="I68:I70" si="5">H68*D68</f>
        <v>0</v>
      </c>
    </row>
    <row r="69" spans="1:9" x14ac:dyDescent="0.25">
      <c r="A69" s="7">
        <v>67</v>
      </c>
      <c r="B69" s="8" t="s">
        <v>76</v>
      </c>
      <c r="C69" s="8" t="s">
        <v>127</v>
      </c>
      <c r="D69" s="7">
        <v>20</v>
      </c>
      <c r="E69" s="7" t="s">
        <v>78</v>
      </c>
      <c r="F69" s="9">
        <v>27027</v>
      </c>
      <c r="G69" s="8"/>
      <c r="H69" s="9">
        <f t="shared" si="4"/>
        <v>29999.97</v>
      </c>
      <c r="I69" s="9">
        <f t="shared" si="5"/>
        <v>599999.4</v>
      </c>
    </row>
    <row r="70" spans="1:9" x14ac:dyDescent="0.25">
      <c r="A70" s="7">
        <v>68</v>
      </c>
      <c r="B70" s="8" t="s">
        <v>77</v>
      </c>
      <c r="C70" s="8" t="s">
        <v>77</v>
      </c>
      <c r="D70" s="7">
        <v>200</v>
      </c>
      <c r="E70" s="7" t="s">
        <v>83</v>
      </c>
      <c r="F70" s="9">
        <v>125000</v>
      </c>
      <c r="G70" s="8"/>
      <c r="H70" s="9">
        <f t="shared" si="4"/>
        <v>138750</v>
      </c>
      <c r="I70" s="9">
        <f t="shared" si="5"/>
        <v>27750000</v>
      </c>
    </row>
    <row r="71" spans="1:9" x14ac:dyDescent="0.25">
      <c r="A71" s="7"/>
      <c r="B71" s="8"/>
      <c r="C71" s="8"/>
      <c r="D71" s="7"/>
      <c r="E71" s="7"/>
      <c r="F71" s="10" t="s">
        <v>8</v>
      </c>
      <c r="G71" s="11"/>
      <c r="H71" s="12"/>
      <c r="I71" s="13">
        <f>SUM(I3:I70)</f>
        <v>240093761.46000001</v>
      </c>
    </row>
  </sheetData>
  <mergeCells count="2">
    <mergeCell ref="A1:I1"/>
    <mergeCell ref="F71:H7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2024-10-03T02:02:54Z</dcterms:created>
  <dcterms:modified xsi:type="dcterms:W3CDTF">2024-10-03T03:01:50Z</dcterms:modified>
</cp:coreProperties>
</file>