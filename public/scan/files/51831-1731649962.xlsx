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KIKI\ASURANSI CENTER\KREDENSIALING BPJS KETENAGAKERJAAN\KREDENSIALING BPJS TK TAHUN 2024\"/>
    </mc:Choice>
  </mc:AlternateContent>
  <xr:revisionPtr revIDLastSave="0" documentId="13_ncr:1_{2C462148-E131-4181-92B7-F9C41E8BE0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KK Pratama" sheetId="1" r:id="rId1"/>
  </sheets>
  <calcPr calcId="181029"/>
  <extLst>
    <ext uri="GoogleSheetsCustomDataVersion2">
      <go:sheetsCustomData xmlns:go="http://customooxmlschemas.google.com/" r:id="rId8" roundtripDataChecksum="Yh9eBisxnQNdXMNFkOH5qAIOEWKgeutuNrbexvKuE/k="/>
    </ext>
  </extLst>
</workbook>
</file>

<file path=xl/calcChain.xml><?xml version="1.0" encoding="utf-8"?>
<calcChain xmlns="http://schemas.openxmlformats.org/spreadsheetml/2006/main">
  <c r="E127" i="1" l="1"/>
  <c r="C133" i="1" s="1"/>
  <c r="E133" i="1" s="1"/>
  <c r="E112" i="1"/>
  <c r="C132" i="1" s="1"/>
  <c r="E132" i="1" s="1"/>
  <c r="E53" i="1"/>
  <c r="C131" i="1" s="1"/>
  <c r="E131" i="1" s="1"/>
  <c r="E134" i="1" s="1"/>
  <c r="E136" i="1" s="1"/>
</calcChain>
</file>

<file path=xl/sharedStrings.xml><?xml version="1.0" encoding="utf-8"?>
<sst xmlns="http://schemas.openxmlformats.org/spreadsheetml/2006/main" count="210" uniqueCount="199">
  <si>
    <t>Formulir Penilaian Kredensial PLKK - Tingkat Pratama</t>
  </si>
  <si>
    <t>A. Identitas</t>
  </si>
  <si>
    <t xml:space="preserve">Nama        </t>
  </si>
  <si>
    <t>Alamat</t>
  </si>
  <si>
    <t>Kode Pos</t>
  </si>
  <si>
    <t>Nomor Telepon</t>
  </si>
  <si>
    <t>Alamat e-mail</t>
  </si>
  <si>
    <t>NPWP</t>
  </si>
  <si>
    <t>Jenis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</si>
  <si>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Klinik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</si>
  <si>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Pusat kesehatan masyarakat</t>
    </r>
  </si>
  <si>
    <r>
      <rPr>
        <b/>
        <sz val="10"/>
        <color theme="1"/>
        <rFont val="Times New Roman"/>
      </rPr>
      <t xml:space="preserve">: </t>
    </r>
    <r>
      <rPr>
        <sz val="10"/>
        <color theme="1"/>
        <rFont val="Times New Roman"/>
      </rPr>
      <t xml:space="preserve">         Praktik dokter bersama</t>
    </r>
  </si>
  <si>
    <t>Status Kepemilikan</t>
  </si>
  <si>
    <r>
      <rPr>
        <b/>
        <sz val="10"/>
        <color theme="1"/>
        <rFont val="Times New Roman"/>
      </rPr>
      <t xml:space="preserve">:          </t>
    </r>
    <r>
      <rPr>
        <sz val="10"/>
        <color theme="1"/>
        <rFont val="Times New Roman"/>
      </rPr>
      <t>Pemerintah</t>
    </r>
  </si>
  <si>
    <r>
      <rPr>
        <b/>
        <sz val="10"/>
        <color theme="1"/>
        <rFont val="Times New Roman"/>
      </rPr>
      <t xml:space="preserve">:          </t>
    </r>
    <r>
      <rPr>
        <sz val="10"/>
        <color theme="1"/>
        <rFont val="Times New Roman"/>
      </rPr>
      <t>Swasta</t>
    </r>
  </si>
  <si>
    <r>
      <rPr>
        <b/>
        <sz val="10"/>
        <color theme="1"/>
        <rFont val="Times New Roman"/>
      </rPr>
      <t xml:space="preserve">:          </t>
    </r>
    <r>
      <rPr>
        <sz val="10"/>
        <color theme="1"/>
        <rFont val="Times New Roman"/>
      </rPr>
      <t>TNI/Polisi</t>
    </r>
  </si>
  <si>
    <t>B. Identitas Pemilik</t>
  </si>
  <si>
    <t>Nama Pemilik/Pimpinan</t>
  </si>
  <si>
    <t>Nomor Telepon/Handphone</t>
  </si>
  <si>
    <t>PERSYARATAN KERJA SAMA</t>
  </si>
  <si>
    <t>Surat Izin Operasional</t>
  </si>
  <si>
    <t>:           Ya                    Tidak</t>
  </si>
  <si>
    <t xml:space="preserve">Surat Izin Praktik (SIP) </t>
  </si>
  <si>
    <t>Nomor Pokok Wajib Pajak (NPWP) Badan</t>
  </si>
  <si>
    <t>Pekerja terdaftar sebagai Peserta BPJS Ketenagakerjaan</t>
  </si>
  <si>
    <t>PENILAIAN KREDENSIAL</t>
  </si>
  <si>
    <t>A. ASPEK SUMBER DAYA MANUSIA (SDM)</t>
  </si>
  <si>
    <t>No</t>
  </si>
  <si>
    <t>Kategori</t>
  </si>
  <si>
    <t>Pemantauan</t>
  </si>
  <si>
    <t>Skor</t>
  </si>
  <si>
    <t>Nilai</t>
  </si>
  <si>
    <t>Tenaga kesehatan</t>
  </si>
  <si>
    <t>Dokter umum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</si>
  <si>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1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</si>
  <si>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&gt; 1</t>
    </r>
  </si>
  <si>
    <t>Dokter spesialis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</si>
  <si>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</si>
  <si>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Ada</t>
    </r>
  </si>
  <si>
    <t>Apoteker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</si>
  <si>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</si>
  <si>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Ada</t>
    </r>
  </si>
  <si>
    <t>Perawat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</si>
  <si>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</si>
  <si>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Ada</t>
    </r>
  </si>
  <si>
    <t>Tenaga lainnya</t>
  </si>
  <si>
    <t>Tenaga adminsitrasi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</si>
  <si>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</si>
  <si>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</si>
  <si>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Tenaga keamanan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</si>
  <si>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</si>
  <si>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</si>
  <si>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Tenaga kebersihan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</si>
  <si>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</si>
  <si>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</si>
  <si>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Nilai Aspek (a)</t>
  </si>
  <si>
    <t>B. ASPEK SARANA DAN PRASARANA</t>
  </si>
  <si>
    <t>Bangunan</t>
  </si>
  <si>
    <t>Kepemilikan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</si>
  <si>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Sewa/Pinjam Pakai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</si>
  <si>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Milik</t>
    </r>
  </si>
  <si>
    <t>Berada di jalan utama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</si>
  <si>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</si>
  <si>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</si>
  <si>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Akses jalan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</si>
  <si>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Satu arah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</si>
  <si>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Dua arah</t>
    </r>
  </si>
  <si>
    <t>Dilewati kendaran umum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</si>
  <si>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</si>
  <si>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</si>
  <si>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Tempat parkir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</si>
  <si>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 ada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</si>
  <si>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Ada untuk kendaraan roda dua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</si>
  <si>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Ada untuk kendaraan roda empat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</si>
  <si>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Ada untuk kendaraan roda dua dan empat</t>
    </r>
  </si>
  <si>
    <t>Sarana air bersih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</si>
  <si>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</si>
  <si>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</si>
  <si>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Genset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</si>
  <si>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</si>
  <si>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</si>
  <si>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Ruangan</t>
  </si>
  <si>
    <t>Ruang pendaftaran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</si>
  <si>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</si>
  <si>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</si>
  <si>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Ruang pemeriksaan umum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</si>
  <si>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</si>
  <si>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</si>
  <si>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Ruang tindakan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</si>
  <si>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</si>
  <si>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</si>
  <si>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Ruang rawat inap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</si>
  <si>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</si>
  <si>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</si>
  <si>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Ruang apotek/farmasi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</si>
  <si>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</si>
  <si>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</si>
  <si>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Ruang adminitrasi dan manajemen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</si>
  <si>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</si>
  <si>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</si>
  <si>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Toilet pasien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</si>
  <si>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</si>
  <si>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</si>
  <si>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Prasarana di ruang tunggu</t>
  </si>
  <si>
    <t>Dispenser/air mineral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</si>
  <si>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</si>
  <si>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</si>
  <si>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Pendingin ruangan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</si>
  <si>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</si>
  <si>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</si>
  <si>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Tempat sampah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</si>
  <si>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</si>
  <si>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</si>
  <si>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Televisi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</si>
  <si>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</si>
  <si>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</si>
  <si>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Koran dan/atau majalah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</si>
  <si>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</si>
  <si>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</si>
  <si>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Sistem antrian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</si>
  <si>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</si>
  <si>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</si>
  <si>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Sistem kepuasaan pelayanan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</si>
  <si>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</si>
  <si>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</si>
  <si>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r>
      <rPr>
        <sz val="10"/>
        <color theme="1"/>
        <rFont val="Times New Roman"/>
      </rPr>
      <t xml:space="preserve">Jaringan internet </t>
    </r>
    <r>
      <rPr>
        <b/>
        <sz val="10"/>
        <color theme="1"/>
        <rFont val="Times New Roman"/>
      </rPr>
      <t>(WIFI)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</si>
  <si>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</si>
  <si>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</si>
  <si>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Kursi Tunggu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</si>
  <si>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</si>
  <si>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</si>
  <si>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Tempat Penyimpanan Rekam Medis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</si>
  <si>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</si>
  <si>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</si>
  <si>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Alat Pemadam Api Ringan (APAR)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</si>
  <si>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</si>
  <si>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</si>
  <si>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Nilai Aspek (b)</t>
  </si>
  <si>
    <t>C. ASPEK LAINNYA</t>
  </si>
  <si>
    <t>Standar pelayanan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</si>
  <si>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</si>
  <si>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</si>
  <si>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Prosedur administrasi dan pelaporan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</si>
  <si>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</si>
  <si>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</si>
  <si>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Kesediaan menggunakan aplikasi PLKK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</si>
  <si>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</si>
  <si>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</si>
  <si>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Kesediaan memasang logo PLKK dan media informasi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</si>
  <si>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Tidak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</si>
  <si>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Ya</t>
    </r>
  </si>
  <si>
    <t>Jumlah hari operasional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</si>
  <si>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&lt; 6 hari seminggu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</si>
  <si>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6 - 7 hari seminggu</t>
    </r>
  </si>
  <si>
    <t>Jam operasional</t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</si>
  <si>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&lt; 12 jam per hari</t>
    </r>
  </si>
  <si>
    <r>
      <rPr>
        <b/>
        <sz val="10"/>
        <color theme="1"/>
        <rFont val="Times New Roman"/>
      </rPr>
      <t>:</t>
    </r>
    <r>
      <rPr>
        <sz val="10"/>
        <color theme="1"/>
        <rFont val="Times New Roman"/>
      </rPr>
      <t xml:space="preserve">          12 - 24 jam per hari</t>
    </r>
  </si>
  <si>
    <t>Nilai Aspek (c)</t>
  </si>
  <si>
    <t>Nilai Aspek</t>
  </si>
  <si>
    <t>Total Nilai</t>
  </si>
  <si>
    <t>Bobot</t>
  </si>
  <si>
    <t>Nilai Akhir</t>
  </si>
  <si>
    <t>(p)</t>
  </si>
  <si>
    <t>(q)</t>
  </si>
  <si>
    <t>(r)</t>
  </si>
  <si>
    <t>(s)</t>
  </si>
  <si>
    <t>(t) = (r) x (s)</t>
  </si>
  <si>
    <t>a</t>
  </si>
  <si>
    <t>b</t>
  </si>
  <si>
    <t>c</t>
  </si>
  <si>
    <t>Total Nilai Akhir</t>
  </si>
  <si>
    <t>Nilai Kredensial = (Total Nilai Akhir/140) * 100%</t>
  </si>
  <si>
    <t>NILAI KREDENSIALING</t>
  </si>
  <si>
    <t>KRITERIA</t>
  </si>
  <si>
    <t>&gt; 75%</t>
  </si>
  <si>
    <t>A</t>
  </si>
  <si>
    <t>50% - 75%</t>
  </si>
  <si>
    <t>B</t>
  </si>
  <si>
    <t>&lt; 50%</t>
  </si>
  <si>
    <t>C</t>
  </si>
  <si>
    <t>Tim Penilai</t>
  </si>
  <si>
    <t>Menyetujui,</t>
  </si>
  <si>
    <t>Kepala</t>
  </si>
  <si>
    <t>(Lora Sri Novita)</t>
  </si>
  <si>
    <t>(Erwin Setiawan)</t>
  </si>
  <si>
    <t>Manajer Kasus KK-PAK</t>
  </si>
  <si>
    <t>Kabid. Pelayanan</t>
  </si>
  <si>
    <t>(Widodo)</t>
  </si>
  <si>
    <t>Malang,                                 2024</t>
  </si>
  <si>
    <t>RS PRIMA HUSADA</t>
  </si>
  <si>
    <t xml:space="preserve">PERUM BANJARARUM SELATAN NO 3-7 </t>
  </si>
  <si>
    <t>SINGOSARI - MALANG</t>
  </si>
  <si>
    <t>0341 - 458679</t>
  </si>
  <si>
    <t>sekretariat@malang.rs-primahusada.com</t>
  </si>
  <si>
    <t>21.137.072.1-657.000</t>
  </si>
  <si>
    <t>Rumah Sakit</t>
  </si>
  <si>
    <t>: dr. Nur Mazidah</t>
  </si>
  <si>
    <t>: +62 812-5290-3818</t>
  </si>
  <si>
    <t>: sekretariat@malang.rs-primahusada.com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</si>
</sst>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sz val="11"/>
      <name val="Calibri"/>
    </font>
    <font>
      <b/>
      <sz val="10"/>
      <color rgb="FF1F1F1F"/>
      <name val="Times New Roman"/>
    </font>
    <font>
      <u/>
      <sz val="11"/>
      <color theme="10"/>
      <name val="Calibri"/>
      <scheme val="minor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5" fillId="2" borderId="1" xfId="0" applyFont="1" applyFill="1" applyBorder="1"/>
    <xf numFmtId="0" fontId="3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top" wrapText="1"/>
    </xf>
    <xf numFmtId="0" fontId="2" fillId="2" borderId="21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top" wrapText="1"/>
    </xf>
    <xf numFmtId="9" fontId="3" fillId="2" borderId="1" xfId="0" applyNumberFormat="1" applyFont="1" applyFill="1" applyBorder="1" applyAlignment="1">
      <alignment horizontal="right" vertical="top" wrapText="1"/>
    </xf>
    <xf numFmtId="9" fontId="3" fillId="2" borderId="8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22" xfId="0" applyFont="1" applyBorder="1"/>
    <xf numFmtId="0" fontId="2" fillId="2" borderId="22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horizontal="center" vertical="center" wrapText="1"/>
    </xf>
    <xf numFmtId="9" fontId="3" fillId="2" borderId="9" xfId="0" applyNumberFormat="1" applyFont="1" applyFill="1" applyBorder="1" applyAlignment="1">
      <alignment horizontal="center" vertical="top" wrapText="1"/>
    </xf>
    <xf numFmtId="0" fontId="4" fillId="0" borderId="11" xfId="0" applyFont="1" applyBorder="1"/>
    <xf numFmtId="0" fontId="4" fillId="0" borderId="10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2" fillId="2" borderId="12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2" fillId="2" borderId="2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right" vertical="top" wrapText="1"/>
    </xf>
    <xf numFmtId="0" fontId="2" fillId="0" borderId="12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4" fillId="0" borderId="18" xfId="0" applyFont="1" applyBorder="1"/>
    <xf numFmtId="0" fontId="2" fillId="2" borderId="20" xfId="0" applyFont="1" applyFill="1" applyBorder="1" applyAlignment="1">
      <alignment horizontal="center" vertical="center"/>
    </xf>
    <xf numFmtId="0" fontId="2" fillId="0" borderId="12" xfId="0" quotePrefix="1" applyFont="1" applyBorder="1" applyAlignment="1">
      <alignment horizontal="left" vertical="center" wrapText="1"/>
    </xf>
    <xf numFmtId="0" fontId="4" fillId="0" borderId="14" xfId="0" applyFont="1" applyBorder="1"/>
    <xf numFmtId="0" fontId="3" fillId="0" borderId="9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1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2" fillId="2" borderId="9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7" fillId="0" borderId="22" xfId="0" applyFont="1" applyBorder="1" applyAlignment="1">
      <alignment vertical="center"/>
    </xf>
    <xf numFmtId="0" fontId="7" fillId="0" borderId="22" xfId="0" applyFont="1" applyBorder="1" applyAlignment="1">
      <alignment horizontal="left" vertical="center"/>
    </xf>
    <xf numFmtId="0" fontId="6" fillId="0" borderId="22" xfId="1" applyBorder="1" applyAlignment="1">
      <alignment vertical="center"/>
    </xf>
    <xf numFmtId="0" fontId="4" fillId="0" borderId="19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59</xdr:row>
      <xdr:rowOff>0</xdr:rowOff>
    </xdr:from>
    <xdr:ext cx="152400" cy="152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60</xdr:row>
      <xdr:rowOff>0</xdr:rowOff>
    </xdr:from>
    <xdr:ext cx="152400" cy="1524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60</xdr:row>
      <xdr:rowOff>0</xdr:rowOff>
    </xdr:from>
    <xdr:ext cx="152400" cy="1524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60</xdr:row>
      <xdr:rowOff>0</xdr:rowOff>
    </xdr:from>
    <xdr:ext cx="152400" cy="1524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61</xdr:row>
      <xdr:rowOff>0</xdr:rowOff>
    </xdr:from>
    <xdr:ext cx="152400" cy="1524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62</xdr:row>
      <xdr:rowOff>0</xdr:rowOff>
    </xdr:from>
    <xdr:ext cx="152400" cy="1524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62</xdr:row>
      <xdr:rowOff>0</xdr:rowOff>
    </xdr:from>
    <xdr:ext cx="152400" cy="1524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62</xdr:row>
      <xdr:rowOff>0</xdr:rowOff>
    </xdr:from>
    <xdr:ext cx="152400" cy="1524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63</xdr:row>
      <xdr:rowOff>0</xdr:rowOff>
    </xdr:from>
    <xdr:ext cx="152400" cy="15240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64</xdr:row>
      <xdr:rowOff>0</xdr:rowOff>
    </xdr:from>
    <xdr:ext cx="152400" cy="15240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64</xdr:row>
      <xdr:rowOff>0</xdr:rowOff>
    </xdr:from>
    <xdr:ext cx="152400" cy="1524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64</xdr:row>
      <xdr:rowOff>0</xdr:rowOff>
    </xdr:from>
    <xdr:ext cx="152400" cy="1524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57</xdr:row>
      <xdr:rowOff>0</xdr:rowOff>
    </xdr:from>
    <xdr:ext cx="152400" cy="15240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58</xdr:row>
      <xdr:rowOff>0</xdr:rowOff>
    </xdr:from>
    <xdr:ext cx="152400" cy="15240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58</xdr:row>
      <xdr:rowOff>0</xdr:rowOff>
    </xdr:from>
    <xdr:ext cx="152400" cy="15240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58</xdr:row>
      <xdr:rowOff>0</xdr:rowOff>
    </xdr:from>
    <xdr:ext cx="152400" cy="15240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65</xdr:row>
      <xdr:rowOff>0</xdr:rowOff>
    </xdr:from>
    <xdr:ext cx="152400" cy="15240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66</xdr:row>
      <xdr:rowOff>0</xdr:rowOff>
    </xdr:from>
    <xdr:ext cx="152400" cy="15240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66</xdr:row>
      <xdr:rowOff>0</xdr:rowOff>
    </xdr:from>
    <xdr:ext cx="152400" cy="15240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66</xdr:row>
      <xdr:rowOff>0</xdr:rowOff>
    </xdr:from>
    <xdr:ext cx="152400" cy="15240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67</xdr:row>
      <xdr:rowOff>0</xdr:rowOff>
    </xdr:from>
    <xdr:ext cx="152400" cy="15240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68</xdr:row>
      <xdr:rowOff>0</xdr:rowOff>
    </xdr:from>
    <xdr:ext cx="152400" cy="15240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68</xdr:row>
      <xdr:rowOff>0</xdr:rowOff>
    </xdr:from>
    <xdr:ext cx="152400" cy="15240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68</xdr:row>
      <xdr:rowOff>0</xdr:rowOff>
    </xdr:from>
    <xdr:ext cx="152400" cy="15240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69</xdr:row>
      <xdr:rowOff>0</xdr:rowOff>
    </xdr:from>
    <xdr:ext cx="152400" cy="15240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70</xdr:row>
      <xdr:rowOff>0</xdr:rowOff>
    </xdr:from>
    <xdr:ext cx="152400" cy="15240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70</xdr:row>
      <xdr:rowOff>0</xdr:rowOff>
    </xdr:from>
    <xdr:ext cx="152400" cy="15240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70</xdr:row>
      <xdr:rowOff>0</xdr:rowOff>
    </xdr:from>
    <xdr:ext cx="152400" cy="15240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74</xdr:row>
      <xdr:rowOff>0</xdr:rowOff>
    </xdr:from>
    <xdr:ext cx="152400" cy="15240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74</xdr:row>
      <xdr:rowOff>0</xdr:rowOff>
    </xdr:from>
    <xdr:ext cx="152400" cy="15240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74</xdr:row>
      <xdr:rowOff>0</xdr:rowOff>
    </xdr:from>
    <xdr:ext cx="152400" cy="15240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74</xdr:row>
      <xdr:rowOff>0</xdr:rowOff>
    </xdr:from>
    <xdr:ext cx="152400" cy="15240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74</xdr:row>
      <xdr:rowOff>0</xdr:rowOff>
    </xdr:from>
    <xdr:ext cx="152400" cy="15240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75</xdr:row>
      <xdr:rowOff>0</xdr:rowOff>
    </xdr:from>
    <xdr:ext cx="152400" cy="15240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75</xdr:row>
      <xdr:rowOff>0</xdr:rowOff>
    </xdr:from>
    <xdr:ext cx="152400" cy="15240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75</xdr:row>
      <xdr:rowOff>0</xdr:rowOff>
    </xdr:from>
    <xdr:ext cx="152400" cy="15240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76</xdr:row>
      <xdr:rowOff>0</xdr:rowOff>
    </xdr:from>
    <xdr:ext cx="152400" cy="15240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77</xdr:row>
      <xdr:rowOff>0</xdr:rowOff>
    </xdr:from>
    <xdr:ext cx="152400" cy="15240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77</xdr:row>
      <xdr:rowOff>0</xdr:rowOff>
    </xdr:from>
    <xdr:ext cx="152400" cy="15240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77</xdr:row>
      <xdr:rowOff>0</xdr:rowOff>
    </xdr:from>
    <xdr:ext cx="152400" cy="15240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78</xdr:row>
      <xdr:rowOff>0</xdr:rowOff>
    </xdr:from>
    <xdr:ext cx="152400" cy="15240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78</xdr:row>
      <xdr:rowOff>0</xdr:rowOff>
    </xdr:from>
    <xdr:ext cx="152400" cy="15240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78</xdr:row>
      <xdr:rowOff>0</xdr:rowOff>
    </xdr:from>
    <xdr:ext cx="152400" cy="15240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78</xdr:row>
      <xdr:rowOff>0</xdr:rowOff>
    </xdr:from>
    <xdr:ext cx="152400" cy="15240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78</xdr:row>
      <xdr:rowOff>0</xdr:rowOff>
    </xdr:from>
    <xdr:ext cx="152400" cy="15240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79</xdr:row>
      <xdr:rowOff>0</xdr:rowOff>
    </xdr:from>
    <xdr:ext cx="152400" cy="15240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79</xdr:row>
      <xdr:rowOff>0</xdr:rowOff>
    </xdr:from>
    <xdr:ext cx="152400" cy="15240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79</xdr:row>
      <xdr:rowOff>0</xdr:rowOff>
    </xdr:from>
    <xdr:ext cx="152400" cy="15240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83</xdr:row>
      <xdr:rowOff>0</xdr:rowOff>
    </xdr:from>
    <xdr:ext cx="152400" cy="15240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83</xdr:row>
      <xdr:rowOff>0</xdr:rowOff>
    </xdr:from>
    <xdr:ext cx="152400" cy="15240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83</xdr:row>
      <xdr:rowOff>0</xdr:rowOff>
    </xdr:from>
    <xdr:ext cx="152400" cy="15240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71</xdr:row>
      <xdr:rowOff>0</xdr:rowOff>
    </xdr:from>
    <xdr:ext cx="152400" cy="15240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71</xdr:row>
      <xdr:rowOff>0</xdr:rowOff>
    </xdr:from>
    <xdr:ext cx="152400" cy="15240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71</xdr:row>
      <xdr:rowOff>0</xdr:rowOff>
    </xdr:from>
    <xdr:ext cx="152400" cy="15240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71</xdr:row>
      <xdr:rowOff>0</xdr:rowOff>
    </xdr:from>
    <xdr:ext cx="152400" cy="15240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71</xdr:row>
      <xdr:rowOff>0</xdr:rowOff>
    </xdr:from>
    <xdr:ext cx="152400" cy="15240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72</xdr:row>
      <xdr:rowOff>0</xdr:rowOff>
    </xdr:from>
    <xdr:ext cx="152400" cy="15240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72</xdr:row>
      <xdr:rowOff>0</xdr:rowOff>
    </xdr:from>
    <xdr:ext cx="152400" cy="15240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72</xdr:row>
      <xdr:rowOff>0</xdr:rowOff>
    </xdr:from>
    <xdr:ext cx="152400" cy="15240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89</xdr:row>
      <xdr:rowOff>0</xdr:rowOff>
    </xdr:from>
    <xdr:ext cx="152400" cy="15240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89</xdr:row>
      <xdr:rowOff>0</xdr:rowOff>
    </xdr:from>
    <xdr:ext cx="152400" cy="15240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89</xdr:row>
      <xdr:rowOff>0</xdr:rowOff>
    </xdr:from>
    <xdr:ext cx="152400" cy="15240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89</xdr:row>
      <xdr:rowOff>0</xdr:rowOff>
    </xdr:from>
    <xdr:ext cx="152400" cy="15240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89</xdr:row>
      <xdr:rowOff>0</xdr:rowOff>
    </xdr:from>
    <xdr:ext cx="152400" cy="15240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89</xdr:row>
      <xdr:rowOff>0</xdr:rowOff>
    </xdr:from>
    <xdr:ext cx="152400" cy="15240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89</xdr:row>
      <xdr:rowOff>0</xdr:rowOff>
    </xdr:from>
    <xdr:ext cx="152400" cy="15240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89</xdr:row>
      <xdr:rowOff>0</xdr:rowOff>
    </xdr:from>
    <xdr:ext cx="152400" cy="152400"/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89</xdr:row>
      <xdr:rowOff>0</xdr:rowOff>
    </xdr:from>
    <xdr:ext cx="152400" cy="152400"/>
    <xdr:sp macro="" textlink="">
      <xdr:nvSpPr>
        <xdr:cNvPr id="82" name="Shape 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90</xdr:row>
      <xdr:rowOff>0</xdr:rowOff>
    </xdr:from>
    <xdr:ext cx="152400" cy="152400"/>
    <xdr:sp macro="" textlink="">
      <xdr:nvSpPr>
        <xdr:cNvPr id="83" name="Shape 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90</xdr:row>
      <xdr:rowOff>0</xdr:rowOff>
    </xdr:from>
    <xdr:ext cx="152400" cy="152400"/>
    <xdr:sp macro="" textlink="">
      <xdr:nvSpPr>
        <xdr:cNvPr id="84" name="Shape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90</xdr:row>
      <xdr:rowOff>0</xdr:rowOff>
    </xdr:from>
    <xdr:ext cx="152400" cy="15240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91</xdr:row>
      <xdr:rowOff>0</xdr:rowOff>
    </xdr:from>
    <xdr:ext cx="152400" cy="15240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92</xdr:row>
      <xdr:rowOff>0</xdr:rowOff>
    </xdr:from>
    <xdr:ext cx="152400" cy="15240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93</xdr:row>
      <xdr:rowOff>142875</xdr:rowOff>
    </xdr:from>
    <xdr:ext cx="152400" cy="15240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93</xdr:row>
      <xdr:rowOff>0</xdr:rowOff>
    </xdr:from>
    <xdr:ext cx="152400" cy="152400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95</xdr:row>
      <xdr:rowOff>0</xdr:rowOff>
    </xdr:from>
    <xdr:ext cx="152400" cy="15240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95</xdr:row>
      <xdr:rowOff>0</xdr:rowOff>
    </xdr:from>
    <xdr:ext cx="152400" cy="152400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95</xdr:row>
      <xdr:rowOff>0</xdr:rowOff>
    </xdr:from>
    <xdr:ext cx="152400" cy="15240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95</xdr:row>
      <xdr:rowOff>0</xdr:rowOff>
    </xdr:from>
    <xdr:ext cx="152400" cy="15240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95</xdr:row>
      <xdr:rowOff>0</xdr:rowOff>
    </xdr:from>
    <xdr:ext cx="152400" cy="15240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96</xdr:row>
      <xdr:rowOff>0</xdr:rowOff>
    </xdr:from>
    <xdr:ext cx="152400" cy="15240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96</xdr:row>
      <xdr:rowOff>0</xdr:rowOff>
    </xdr:from>
    <xdr:ext cx="152400" cy="152400"/>
    <xdr:sp macro="" textlink="">
      <xdr:nvSpPr>
        <xdr:cNvPr id="96" name="Shape 3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96</xdr:row>
      <xdr:rowOff>0</xdr:rowOff>
    </xdr:from>
    <xdr:ext cx="152400" cy="152400"/>
    <xdr:sp macro="" textlink="">
      <xdr:nvSpPr>
        <xdr:cNvPr id="97" name="Shape 3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103</xdr:row>
      <xdr:rowOff>0</xdr:rowOff>
    </xdr:from>
    <xdr:ext cx="152400" cy="152400"/>
    <xdr:sp macro="" textlink="">
      <xdr:nvSpPr>
        <xdr:cNvPr id="98" name="Shape 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104</xdr:row>
      <xdr:rowOff>0</xdr:rowOff>
    </xdr:from>
    <xdr:ext cx="152400" cy="152400"/>
    <xdr:sp macro="" textlink="">
      <xdr:nvSpPr>
        <xdr:cNvPr id="99" name="Shape 3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104</xdr:row>
      <xdr:rowOff>0</xdr:rowOff>
    </xdr:from>
    <xdr:ext cx="152400" cy="15240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105</xdr:row>
      <xdr:rowOff>0</xdr:rowOff>
    </xdr:from>
    <xdr:ext cx="152400" cy="15240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97</xdr:row>
      <xdr:rowOff>0</xdr:rowOff>
    </xdr:from>
    <xdr:ext cx="152400" cy="15240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98</xdr:row>
      <xdr:rowOff>0</xdr:rowOff>
    </xdr:from>
    <xdr:ext cx="152400" cy="15240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98</xdr:row>
      <xdr:rowOff>0</xdr:rowOff>
    </xdr:from>
    <xdr:ext cx="152400" cy="15240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98</xdr:row>
      <xdr:rowOff>0</xdr:rowOff>
    </xdr:from>
    <xdr:ext cx="152400" cy="152400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38</xdr:row>
      <xdr:rowOff>0</xdr:rowOff>
    </xdr:from>
    <xdr:ext cx="152400" cy="15240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38</xdr:row>
      <xdr:rowOff>0</xdr:rowOff>
    </xdr:from>
    <xdr:ext cx="152400" cy="152400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38</xdr:row>
      <xdr:rowOff>0</xdr:rowOff>
    </xdr:from>
    <xdr:ext cx="152400" cy="152400"/>
    <xdr:sp macro="" textlink="">
      <xdr:nvSpPr>
        <xdr:cNvPr id="112" name="Shape 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38</xdr:row>
      <xdr:rowOff>0</xdr:rowOff>
    </xdr:from>
    <xdr:ext cx="152400" cy="152400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8" name="Shape 3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0" name="Shape 3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1" name="Shape 3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2" name="Shape 3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3" name="Shape 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7" name="Shape 3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46</xdr:row>
      <xdr:rowOff>0</xdr:rowOff>
    </xdr:from>
    <xdr:ext cx="152400" cy="15240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47</xdr:row>
      <xdr:rowOff>0</xdr:rowOff>
    </xdr:from>
    <xdr:ext cx="152400" cy="15240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47</xdr:row>
      <xdr:rowOff>0</xdr:rowOff>
    </xdr:from>
    <xdr:ext cx="152400" cy="15240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47</xdr:row>
      <xdr:rowOff>0</xdr:rowOff>
    </xdr:from>
    <xdr:ext cx="152400" cy="15240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47</xdr:row>
      <xdr:rowOff>142875</xdr:rowOff>
    </xdr:from>
    <xdr:ext cx="152400" cy="15240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80</xdr:row>
      <xdr:rowOff>0</xdr:rowOff>
    </xdr:from>
    <xdr:ext cx="152400" cy="152400"/>
    <xdr:sp macro="" textlink="">
      <xdr:nvSpPr>
        <xdr:cNvPr id="155" name="Shape 3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81</xdr:row>
      <xdr:rowOff>0</xdr:rowOff>
    </xdr:from>
    <xdr:ext cx="152400" cy="152400"/>
    <xdr:sp macro="" textlink="">
      <xdr:nvSpPr>
        <xdr:cNvPr id="156" name="Shape 3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81</xdr:row>
      <xdr:rowOff>0</xdr:rowOff>
    </xdr:from>
    <xdr:ext cx="152400" cy="152400"/>
    <xdr:sp macro="" textlink="">
      <xdr:nvSpPr>
        <xdr:cNvPr id="157" name="Shape 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81</xdr:row>
      <xdr:rowOff>0</xdr:rowOff>
    </xdr:from>
    <xdr:ext cx="152400" cy="152400"/>
    <xdr:sp macro="" textlink="">
      <xdr:nvSpPr>
        <xdr:cNvPr id="158" name="Shape 3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99</xdr:row>
      <xdr:rowOff>0</xdr:rowOff>
    </xdr:from>
    <xdr:ext cx="152400" cy="15240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100</xdr:row>
      <xdr:rowOff>0</xdr:rowOff>
    </xdr:from>
    <xdr:ext cx="152400" cy="15240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100</xdr:row>
      <xdr:rowOff>0</xdr:rowOff>
    </xdr:from>
    <xdr:ext cx="152400" cy="15240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100</xdr:row>
      <xdr:rowOff>0</xdr:rowOff>
    </xdr:from>
    <xdr:ext cx="152400" cy="15240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101</xdr:row>
      <xdr:rowOff>0</xdr:rowOff>
    </xdr:from>
    <xdr:ext cx="152400" cy="15240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102</xdr:row>
      <xdr:rowOff>0</xdr:rowOff>
    </xdr:from>
    <xdr:ext cx="152400" cy="15240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102</xdr:row>
      <xdr:rowOff>0</xdr:rowOff>
    </xdr:from>
    <xdr:ext cx="152400" cy="15240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102</xdr:row>
      <xdr:rowOff>0</xdr:rowOff>
    </xdr:from>
    <xdr:ext cx="152400" cy="15240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71" name="Shape 3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72" name="Shape 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73" name="Shape 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82</xdr:row>
      <xdr:rowOff>0</xdr:rowOff>
    </xdr:from>
    <xdr:ext cx="152400" cy="15240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85" name="Shape 3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86" name="Shape 3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84</xdr:row>
      <xdr:rowOff>0</xdr:rowOff>
    </xdr:from>
    <xdr:ext cx="152400" cy="152400"/>
    <xdr:sp macro="" textlink="">
      <xdr:nvSpPr>
        <xdr:cNvPr id="187" name="Shape 3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85</xdr:row>
      <xdr:rowOff>0</xdr:rowOff>
    </xdr:from>
    <xdr:ext cx="152400" cy="152400"/>
    <xdr:sp macro="" textlink="">
      <xdr:nvSpPr>
        <xdr:cNvPr id="188" name="Shape 3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85</xdr:row>
      <xdr:rowOff>0</xdr:rowOff>
    </xdr:from>
    <xdr:ext cx="152400" cy="152400"/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85</xdr:row>
      <xdr:rowOff>0</xdr:rowOff>
    </xdr:from>
    <xdr:ext cx="152400" cy="152400"/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87</xdr:row>
      <xdr:rowOff>0</xdr:rowOff>
    </xdr:from>
    <xdr:ext cx="152400" cy="152400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87</xdr:row>
      <xdr:rowOff>0</xdr:rowOff>
    </xdr:from>
    <xdr:ext cx="152400" cy="152400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87</xdr:row>
      <xdr:rowOff>0</xdr:rowOff>
    </xdr:from>
    <xdr:ext cx="152400" cy="15240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39</xdr:row>
      <xdr:rowOff>0</xdr:rowOff>
    </xdr:from>
    <xdr:ext cx="152400" cy="152400"/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40</xdr:row>
      <xdr:rowOff>0</xdr:rowOff>
    </xdr:from>
    <xdr:ext cx="152400" cy="152400"/>
    <xdr:sp macro="" textlink="">
      <xdr:nvSpPr>
        <xdr:cNvPr id="200" name="Shape 3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40</xdr:row>
      <xdr:rowOff>0</xdr:rowOff>
    </xdr:from>
    <xdr:ext cx="152400" cy="152400"/>
    <xdr:sp macro="" textlink="">
      <xdr:nvSpPr>
        <xdr:cNvPr id="201" name="Shape 3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40</xdr:row>
      <xdr:rowOff>0</xdr:rowOff>
    </xdr:from>
    <xdr:ext cx="152400" cy="152400"/>
    <xdr:sp macro="" textlink="">
      <xdr:nvSpPr>
        <xdr:cNvPr id="202" name="Shape 3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03" name="Shape 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5" name="Shape 3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6" name="Shape 3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7" name="Shape 3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8" name="Shape 3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29" name="Shape 3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0" name="Shape 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1" name="Shape 3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2" name="Shape 3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3" name="Shape 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5" name="Shape 3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6" name="Shape 3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7" name="Shape 3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8" name="Shape 3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60" name="Shape 3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61" name="Shape 3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62" name="Shape 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63" name="Shape 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86</xdr:row>
      <xdr:rowOff>0</xdr:rowOff>
    </xdr:from>
    <xdr:ext cx="152400" cy="152400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75" name="Shape 3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76" name="Shape 3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77" name="Shape 3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41</xdr:row>
      <xdr:rowOff>0</xdr:rowOff>
    </xdr:from>
    <xdr:ext cx="152400" cy="152400"/>
    <xdr:sp macro="" textlink="">
      <xdr:nvSpPr>
        <xdr:cNvPr id="278" name="Shape 3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120</xdr:row>
      <xdr:rowOff>0</xdr:rowOff>
    </xdr:from>
    <xdr:ext cx="152400" cy="152400"/>
    <xdr:sp macro="" textlink="">
      <xdr:nvSpPr>
        <xdr:cNvPr id="279" name="Shape 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121</xdr:row>
      <xdr:rowOff>0</xdr:rowOff>
    </xdr:from>
    <xdr:ext cx="152400" cy="152400"/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121</xdr:row>
      <xdr:rowOff>0</xdr:rowOff>
    </xdr:from>
    <xdr:ext cx="152400" cy="152400"/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122</xdr:row>
      <xdr:rowOff>0</xdr:rowOff>
    </xdr:from>
    <xdr:ext cx="152400" cy="152400"/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114</xdr:row>
      <xdr:rowOff>0</xdr:rowOff>
    </xdr:from>
    <xdr:ext cx="152400" cy="152400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115</xdr:row>
      <xdr:rowOff>0</xdr:rowOff>
    </xdr:from>
    <xdr:ext cx="152400" cy="152400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115</xdr:row>
      <xdr:rowOff>0</xdr:rowOff>
    </xdr:from>
    <xdr:ext cx="152400" cy="152400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115</xdr:row>
      <xdr:rowOff>0</xdr:rowOff>
    </xdr:from>
    <xdr:ext cx="152400" cy="152400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116</xdr:row>
      <xdr:rowOff>0</xdr:rowOff>
    </xdr:from>
    <xdr:ext cx="152400" cy="152400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117</xdr:row>
      <xdr:rowOff>0</xdr:rowOff>
    </xdr:from>
    <xdr:ext cx="152400" cy="152400"/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117</xdr:row>
      <xdr:rowOff>0</xdr:rowOff>
    </xdr:from>
    <xdr:ext cx="152400" cy="152400"/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117</xdr:row>
      <xdr:rowOff>0</xdr:rowOff>
    </xdr:from>
    <xdr:ext cx="152400" cy="152400"/>
    <xdr:sp macro="" textlink="">
      <xdr:nvSpPr>
        <xdr:cNvPr id="290" name="Shape 3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26</xdr:row>
      <xdr:rowOff>0</xdr:rowOff>
    </xdr:from>
    <xdr:ext cx="152400" cy="152400"/>
    <xdr:sp macro="" textlink="">
      <xdr:nvSpPr>
        <xdr:cNvPr id="291" name="Shape 3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</xdr:row>
      <xdr:rowOff>0</xdr:rowOff>
    </xdr:from>
    <xdr:ext cx="152400" cy="152400"/>
    <xdr:sp macro="" textlink="">
      <xdr:nvSpPr>
        <xdr:cNvPr id="292" name="Shape 3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</xdr:row>
      <xdr:rowOff>0</xdr:rowOff>
    </xdr:from>
    <xdr:ext cx="152400" cy="152400"/>
    <xdr:sp macro="" textlink="">
      <xdr:nvSpPr>
        <xdr:cNvPr id="293" name="Shape 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28</xdr:row>
      <xdr:rowOff>0</xdr:rowOff>
    </xdr:from>
    <xdr:ext cx="152400" cy="152400"/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29</xdr:row>
      <xdr:rowOff>0</xdr:rowOff>
    </xdr:from>
    <xdr:ext cx="152400" cy="152400"/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29</xdr:row>
      <xdr:rowOff>0</xdr:rowOff>
    </xdr:from>
    <xdr:ext cx="152400" cy="152400"/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29</xdr:row>
      <xdr:rowOff>0</xdr:rowOff>
    </xdr:from>
    <xdr:ext cx="152400" cy="152400"/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38100</xdr:colOff>
      <xdr:row>26</xdr:row>
      <xdr:rowOff>0</xdr:rowOff>
    </xdr:from>
    <xdr:ext cx="152400" cy="152400"/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47625</xdr:colOff>
      <xdr:row>27</xdr:row>
      <xdr:rowOff>0</xdr:rowOff>
    </xdr:from>
    <xdr:ext cx="152400" cy="152400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47625</xdr:colOff>
      <xdr:row>28</xdr:row>
      <xdr:rowOff>0</xdr:rowOff>
    </xdr:from>
    <xdr:ext cx="152400" cy="152400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47625</xdr:colOff>
      <xdr:row>29</xdr:row>
      <xdr:rowOff>0</xdr:rowOff>
    </xdr:from>
    <xdr:ext cx="152400" cy="152400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44</xdr:row>
      <xdr:rowOff>0</xdr:rowOff>
    </xdr:from>
    <xdr:ext cx="152400" cy="152400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43</xdr:row>
      <xdr:rowOff>9525</xdr:rowOff>
    </xdr:from>
    <xdr:ext cx="152400" cy="152400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42</xdr:row>
      <xdr:rowOff>9525</xdr:rowOff>
    </xdr:from>
    <xdr:ext cx="152400" cy="152400"/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36</xdr:row>
      <xdr:rowOff>142875</xdr:rowOff>
    </xdr:from>
    <xdr:ext cx="152400" cy="152400"/>
    <xdr:sp macro="" textlink="">
      <xdr:nvSpPr>
        <xdr:cNvPr id="305" name="Shape 3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57150</xdr:colOff>
      <xdr:row>49</xdr:row>
      <xdr:rowOff>0</xdr:rowOff>
    </xdr:from>
    <xdr:ext cx="152400" cy="152400"/>
    <xdr:sp macro="" textlink="">
      <xdr:nvSpPr>
        <xdr:cNvPr id="306" name="Shape 3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57150</xdr:colOff>
      <xdr:row>50</xdr:row>
      <xdr:rowOff>0</xdr:rowOff>
    </xdr:from>
    <xdr:ext cx="152400" cy="152400"/>
    <xdr:sp macro="" textlink="">
      <xdr:nvSpPr>
        <xdr:cNvPr id="307" name="Shape 3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57150</xdr:colOff>
      <xdr:row>51</xdr:row>
      <xdr:rowOff>0</xdr:rowOff>
    </xdr:from>
    <xdr:ext cx="152400" cy="152400"/>
    <xdr:sp macro="" textlink="">
      <xdr:nvSpPr>
        <xdr:cNvPr id="308" name="Shape 3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106</xdr:row>
      <xdr:rowOff>0</xdr:rowOff>
    </xdr:from>
    <xdr:ext cx="152400" cy="152400"/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107</xdr:row>
      <xdr:rowOff>0</xdr:rowOff>
    </xdr:from>
    <xdr:ext cx="152400" cy="152400"/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108</xdr:row>
      <xdr:rowOff>0</xdr:rowOff>
    </xdr:from>
    <xdr:ext cx="152400" cy="152400"/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109</xdr:row>
      <xdr:rowOff>0</xdr:rowOff>
    </xdr:from>
    <xdr:ext cx="152400" cy="152400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110</xdr:row>
      <xdr:rowOff>0</xdr:rowOff>
    </xdr:from>
    <xdr:ext cx="152400" cy="152400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123</xdr:row>
      <xdr:rowOff>0</xdr:rowOff>
    </xdr:from>
    <xdr:ext cx="152400" cy="152400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124</xdr:row>
      <xdr:rowOff>0</xdr:rowOff>
    </xdr:from>
    <xdr:ext cx="152400" cy="152400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57150</xdr:colOff>
      <xdr:row>124</xdr:row>
      <xdr:rowOff>0</xdr:rowOff>
    </xdr:from>
    <xdr:ext cx="152400" cy="152400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57150</xdr:colOff>
      <xdr:row>125</xdr:row>
      <xdr:rowOff>0</xdr:rowOff>
    </xdr:from>
    <xdr:ext cx="152400" cy="152400"/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57150</xdr:colOff>
      <xdr:row>117</xdr:row>
      <xdr:rowOff>161925</xdr:rowOff>
    </xdr:from>
    <xdr:ext cx="152400" cy="152400"/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133350</xdr:colOff>
      <xdr:row>11</xdr:row>
      <xdr:rowOff>0</xdr:rowOff>
    </xdr:from>
    <xdr:ext cx="152400" cy="152400"/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133350</xdr:colOff>
      <xdr:row>12</xdr:row>
      <xdr:rowOff>0</xdr:rowOff>
    </xdr:from>
    <xdr:ext cx="152400" cy="152400"/>
    <xdr:sp macro="" textlink="">
      <xdr:nvSpPr>
        <xdr:cNvPr id="320" name="Shape 3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133350</xdr:colOff>
      <xdr:row>13</xdr:row>
      <xdr:rowOff>0</xdr:rowOff>
    </xdr:from>
    <xdr:ext cx="152400" cy="152400"/>
    <xdr:sp macro="" textlink="">
      <xdr:nvSpPr>
        <xdr:cNvPr id="321" name="Shape 3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133350</xdr:colOff>
      <xdr:row>14</xdr:row>
      <xdr:rowOff>0</xdr:rowOff>
    </xdr:from>
    <xdr:ext cx="152400" cy="152400"/>
    <xdr:sp macro="" textlink="">
      <xdr:nvSpPr>
        <xdr:cNvPr id="322" name="Shape 3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133350</xdr:colOff>
      <xdr:row>15</xdr:row>
      <xdr:rowOff>0</xdr:rowOff>
    </xdr:from>
    <xdr:ext cx="152400" cy="152400"/>
    <xdr:sp macro="" textlink="">
      <xdr:nvSpPr>
        <xdr:cNvPr id="323" name="Shape 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133350</xdr:colOff>
      <xdr:row>16</xdr:row>
      <xdr:rowOff>0</xdr:rowOff>
    </xdr:from>
    <xdr:ext cx="152400" cy="152400"/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118</xdr:row>
      <xdr:rowOff>142875</xdr:rowOff>
    </xdr:from>
    <xdr:ext cx="152400" cy="152400"/>
    <xdr:sp macro="" textlink="">
      <xdr:nvSpPr>
        <xdr:cNvPr id="325" name="Shape 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54863</xdr:colOff>
      <xdr:row>14</xdr:row>
      <xdr:rowOff>70013</xdr:rowOff>
    </xdr:from>
    <xdr:to>
      <xdr:col>2</xdr:col>
      <xdr:colOff>359689</xdr:colOff>
      <xdr:row>16</xdr:row>
      <xdr:rowOff>130244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254C1EC5-63A8-BB3D-6E94-E5DEAD468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4663" y="2327438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3</xdr:col>
      <xdr:colOff>92963</xdr:colOff>
      <xdr:row>25</xdr:row>
      <xdr:rowOff>98588</xdr:rowOff>
    </xdr:from>
    <xdr:to>
      <xdr:col>3</xdr:col>
      <xdr:colOff>397789</xdr:colOff>
      <xdr:row>27</xdr:row>
      <xdr:rowOff>101669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F8440231-8B2E-710E-F431-1B8B489F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1188" y="4137188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28</xdr:row>
      <xdr:rowOff>104775</xdr:rowOff>
    </xdr:from>
    <xdr:to>
      <xdr:col>3</xdr:col>
      <xdr:colOff>400076</xdr:colOff>
      <xdr:row>30</xdr:row>
      <xdr:rowOff>107856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4DD8749C-8B5F-4B07-AEC2-E09334653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47148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26</xdr:row>
      <xdr:rowOff>104775</xdr:rowOff>
    </xdr:from>
    <xdr:to>
      <xdr:col>3</xdr:col>
      <xdr:colOff>409601</xdr:colOff>
      <xdr:row>28</xdr:row>
      <xdr:rowOff>107856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ACA6D87E-ABCF-4612-A5E0-482F8CF00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3338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27</xdr:row>
      <xdr:rowOff>104775</xdr:rowOff>
    </xdr:from>
    <xdr:to>
      <xdr:col>3</xdr:col>
      <xdr:colOff>400076</xdr:colOff>
      <xdr:row>29</xdr:row>
      <xdr:rowOff>107856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D6101500-A5D6-44B3-9736-6A97627FA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45243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1750313</xdr:colOff>
      <xdr:row>37</xdr:row>
      <xdr:rowOff>79538</xdr:rowOff>
    </xdr:from>
    <xdr:to>
      <xdr:col>2</xdr:col>
      <xdr:colOff>273964</xdr:colOff>
      <xdr:row>39</xdr:row>
      <xdr:rowOff>139769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1C89DBB0-4C7D-47AD-B9BC-11741EBC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8938" y="6204113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39</xdr:row>
      <xdr:rowOff>66675</xdr:rowOff>
    </xdr:from>
    <xdr:to>
      <xdr:col>2</xdr:col>
      <xdr:colOff>285776</xdr:colOff>
      <xdr:row>41</xdr:row>
      <xdr:rowOff>126906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AB48988E-610F-4DBD-96A0-ACBF5D287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651510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41</xdr:row>
      <xdr:rowOff>104775</xdr:rowOff>
    </xdr:from>
    <xdr:to>
      <xdr:col>2</xdr:col>
      <xdr:colOff>276251</xdr:colOff>
      <xdr:row>43</xdr:row>
      <xdr:rowOff>107856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3864A5E3-E967-4AB9-8537-12D816D05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68770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1771650</xdr:colOff>
      <xdr:row>43</xdr:row>
      <xdr:rowOff>104775</xdr:rowOff>
    </xdr:from>
    <xdr:to>
      <xdr:col>2</xdr:col>
      <xdr:colOff>295301</xdr:colOff>
      <xdr:row>45</xdr:row>
      <xdr:rowOff>107856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477B9EBF-B990-42DC-B632-3D3B993A6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72580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1771650</xdr:colOff>
      <xdr:row>46</xdr:row>
      <xdr:rowOff>76200</xdr:rowOff>
    </xdr:from>
    <xdr:to>
      <xdr:col>2</xdr:col>
      <xdr:colOff>295301</xdr:colOff>
      <xdr:row>48</xdr:row>
      <xdr:rowOff>136431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98C39F60-63FE-48B2-BBC3-0FFFF188F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777240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85725</xdr:rowOff>
    </xdr:from>
    <xdr:to>
      <xdr:col>2</xdr:col>
      <xdr:colOff>304826</xdr:colOff>
      <xdr:row>50</xdr:row>
      <xdr:rowOff>145956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84C2647B-16B3-45AC-AD82-3BF7DD34C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0" y="81057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50</xdr:row>
      <xdr:rowOff>66675</xdr:rowOff>
    </xdr:from>
    <xdr:to>
      <xdr:col>2</xdr:col>
      <xdr:colOff>285776</xdr:colOff>
      <xdr:row>52</xdr:row>
      <xdr:rowOff>126906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776F0722-BBBB-4F8D-A835-3C4DF0867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84105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57</xdr:row>
      <xdr:rowOff>85725</xdr:rowOff>
    </xdr:from>
    <xdr:to>
      <xdr:col>2</xdr:col>
      <xdr:colOff>276251</xdr:colOff>
      <xdr:row>59</xdr:row>
      <xdr:rowOff>145956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686C1D7C-F7CF-476E-88C6-43DE2D5F3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956310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59</xdr:row>
      <xdr:rowOff>76200</xdr:rowOff>
    </xdr:from>
    <xdr:to>
      <xdr:col>2</xdr:col>
      <xdr:colOff>276251</xdr:colOff>
      <xdr:row>61</xdr:row>
      <xdr:rowOff>136431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BB5144AD-55FB-4832-A731-0932D8607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987742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61</xdr:row>
      <xdr:rowOff>85725</xdr:rowOff>
    </xdr:from>
    <xdr:to>
      <xdr:col>2</xdr:col>
      <xdr:colOff>285776</xdr:colOff>
      <xdr:row>63</xdr:row>
      <xdr:rowOff>145956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B230115F-9AF5-49DB-983D-50EE2188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021080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63</xdr:row>
      <xdr:rowOff>76200</xdr:rowOff>
    </xdr:from>
    <xdr:to>
      <xdr:col>2</xdr:col>
      <xdr:colOff>285776</xdr:colOff>
      <xdr:row>65</xdr:row>
      <xdr:rowOff>136431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6226B82D-7358-49D1-B56C-1D120D530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052512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67</xdr:row>
      <xdr:rowOff>85725</xdr:rowOff>
    </xdr:from>
    <xdr:to>
      <xdr:col>2</xdr:col>
      <xdr:colOff>285776</xdr:colOff>
      <xdr:row>69</xdr:row>
      <xdr:rowOff>145956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7DF280D9-1332-41A7-9005-161BC30B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11823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69</xdr:row>
      <xdr:rowOff>85725</xdr:rowOff>
    </xdr:from>
    <xdr:to>
      <xdr:col>2</xdr:col>
      <xdr:colOff>276251</xdr:colOff>
      <xdr:row>71</xdr:row>
      <xdr:rowOff>145956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990E4A19-EAD1-451D-80CD-2362347FA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150620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71</xdr:row>
      <xdr:rowOff>76200</xdr:rowOff>
    </xdr:from>
    <xdr:to>
      <xdr:col>2</xdr:col>
      <xdr:colOff>285776</xdr:colOff>
      <xdr:row>73</xdr:row>
      <xdr:rowOff>136431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A1C3A309-6BB9-475F-8DAE-880E4FCE1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182052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1771650</xdr:colOff>
      <xdr:row>74</xdr:row>
      <xdr:rowOff>76200</xdr:rowOff>
    </xdr:from>
    <xdr:to>
      <xdr:col>2</xdr:col>
      <xdr:colOff>295301</xdr:colOff>
      <xdr:row>76</xdr:row>
      <xdr:rowOff>136431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3F9683B1-C007-476A-BAA1-7FD9CB860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1230630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76</xdr:row>
      <xdr:rowOff>76200</xdr:rowOff>
    </xdr:from>
    <xdr:to>
      <xdr:col>2</xdr:col>
      <xdr:colOff>285776</xdr:colOff>
      <xdr:row>78</xdr:row>
      <xdr:rowOff>136431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1B5F3E2D-ECA0-4BFE-8F24-98B1485B5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26301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78</xdr:row>
      <xdr:rowOff>85725</xdr:rowOff>
    </xdr:from>
    <xdr:to>
      <xdr:col>2</xdr:col>
      <xdr:colOff>285776</xdr:colOff>
      <xdr:row>80</xdr:row>
      <xdr:rowOff>145956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C02BE67A-AC34-4F3F-AF73-610CB7287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296352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80</xdr:row>
      <xdr:rowOff>76200</xdr:rowOff>
    </xdr:from>
    <xdr:to>
      <xdr:col>2</xdr:col>
      <xdr:colOff>276251</xdr:colOff>
      <xdr:row>82</xdr:row>
      <xdr:rowOff>136431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69AB4EBE-8F4D-46E3-96DC-D3AEDBD4D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32778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82</xdr:row>
      <xdr:rowOff>66675</xdr:rowOff>
    </xdr:from>
    <xdr:to>
      <xdr:col>2</xdr:col>
      <xdr:colOff>276251</xdr:colOff>
      <xdr:row>84</xdr:row>
      <xdr:rowOff>126906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55AA7A0A-AEB8-46C9-A4F3-3E763BB89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35921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1733550</xdr:colOff>
      <xdr:row>84</xdr:row>
      <xdr:rowOff>47625</xdr:rowOff>
    </xdr:from>
    <xdr:to>
      <xdr:col>2</xdr:col>
      <xdr:colOff>257201</xdr:colOff>
      <xdr:row>86</xdr:row>
      <xdr:rowOff>107856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3EAD2421-3471-47F1-B982-39E49B690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5" y="138969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1724025</xdr:colOff>
      <xdr:row>86</xdr:row>
      <xdr:rowOff>76200</xdr:rowOff>
    </xdr:from>
    <xdr:to>
      <xdr:col>2</xdr:col>
      <xdr:colOff>247676</xdr:colOff>
      <xdr:row>88</xdr:row>
      <xdr:rowOff>136431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DECD6788-AFC8-453B-A455-F5A129930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50" y="1424940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99</xdr:row>
      <xdr:rowOff>76200</xdr:rowOff>
    </xdr:from>
    <xdr:to>
      <xdr:col>2</xdr:col>
      <xdr:colOff>276251</xdr:colOff>
      <xdr:row>101</xdr:row>
      <xdr:rowOff>136431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6D8EF70C-96DA-46DE-8217-B257BD900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635442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97</xdr:row>
      <xdr:rowOff>76200</xdr:rowOff>
    </xdr:from>
    <xdr:to>
      <xdr:col>2</xdr:col>
      <xdr:colOff>276251</xdr:colOff>
      <xdr:row>99</xdr:row>
      <xdr:rowOff>136431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A1EBD0E-8FBD-418D-9860-91BEBF7BD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60305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95</xdr:row>
      <xdr:rowOff>76200</xdr:rowOff>
    </xdr:from>
    <xdr:to>
      <xdr:col>2</xdr:col>
      <xdr:colOff>276251</xdr:colOff>
      <xdr:row>97</xdr:row>
      <xdr:rowOff>136431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FEAE3147-D161-42A3-8A20-3BC6F777E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570672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1743075</xdr:colOff>
      <xdr:row>93</xdr:row>
      <xdr:rowOff>76200</xdr:rowOff>
    </xdr:from>
    <xdr:to>
      <xdr:col>2</xdr:col>
      <xdr:colOff>266726</xdr:colOff>
      <xdr:row>95</xdr:row>
      <xdr:rowOff>136431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DFC0B53A-D09C-4F46-84B5-419D5EB20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53828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91</xdr:row>
      <xdr:rowOff>85725</xdr:rowOff>
    </xdr:from>
    <xdr:to>
      <xdr:col>2</xdr:col>
      <xdr:colOff>285776</xdr:colOff>
      <xdr:row>93</xdr:row>
      <xdr:rowOff>145956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1804D650-1AC3-49DF-9A6F-4136BD669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50685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89</xdr:row>
      <xdr:rowOff>76200</xdr:rowOff>
    </xdr:from>
    <xdr:to>
      <xdr:col>2</xdr:col>
      <xdr:colOff>285776</xdr:colOff>
      <xdr:row>91</xdr:row>
      <xdr:rowOff>136431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5DA8A523-612F-466C-8729-B4187B95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47351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101</xdr:row>
      <xdr:rowOff>66675</xdr:rowOff>
    </xdr:from>
    <xdr:to>
      <xdr:col>2</xdr:col>
      <xdr:colOff>285776</xdr:colOff>
      <xdr:row>103</xdr:row>
      <xdr:rowOff>126906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7793F1FC-32A5-40E2-A7B4-053EDE739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66687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1743075</xdr:colOff>
      <xdr:row>103</xdr:row>
      <xdr:rowOff>47625</xdr:rowOff>
    </xdr:from>
    <xdr:to>
      <xdr:col>2</xdr:col>
      <xdr:colOff>266726</xdr:colOff>
      <xdr:row>105</xdr:row>
      <xdr:rowOff>107856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BAF86CD5-1304-40BB-84D2-D6733283C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69735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105</xdr:row>
      <xdr:rowOff>85725</xdr:rowOff>
    </xdr:from>
    <xdr:to>
      <xdr:col>2</xdr:col>
      <xdr:colOff>276251</xdr:colOff>
      <xdr:row>107</xdr:row>
      <xdr:rowOff>145956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0065BB3B-9DCD-4030-98D5-3B56B952B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733550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1771650</xdr:colOff>
      <xdr:row>107</xdr:row>
      <xdr:rowOff>76200</xdr:rowOff>
    </xdr:from>
    <xdr:to>
      <xdr:col>2</xdr:col>
      <xdr:colOff>295301</xdr:colOff>
      <xdr:row>109</xdr:row>
      <xdr:rowOff>136431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279ADAA1-1750-4727-91CB-CD5DF985E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1764982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109</xdr:row>
      <xdr:rowOff>76200</xdr:rowOff>
    </xdr:from>
    <xdr:to>
      <xdr:col>2</xdr:col>
      <xdr:colOff>285776</xdr:colOff>
      <xdr:row>111</xdr:row>
      <xdr:rowOff>136431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C1AFC6CE-A06C-411E-98C3-60BAD3ADC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7973675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1771650</xdr:colOff>
      <xdr:row>114</xdr:row>
      <xdr:rowOff>57150</xdr:rowOff>
    </xdr:from>
    <xdr:to>
      <xdr:col>2</xdr:col>
      <xdr:colOff>295301</xdr:colOff>
      <xdr:row>116</xdr:row>
      <xdr:rowOff>117381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9812F815-B9CE-403D-A9AF-6EF630C45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187642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1771650</xdr:colOff>
      <xdr:row>116</xdr:row>
      <xdr:rowOff>76200</xdr:rowOff>
    </xdr:from>
    <xdr:to>
      <xdr:col>2</xdr:col>
      <xdr:colOff>295301</xdr:colOff>
      <xdr:row>118</xdr:row>
      <xdr:rowOff>136431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6EA6E178-5D6B-4C56-AE22-E17506721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191071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120</xdr:row>
      <xdr:rowOff>76200</xdr:rowOff>
    </xdr:from>
    <xdr:to>
      <xdr:col>2</xdr:col>
      <xdr:colOff>276251</xdr:colOff>
      <xdr:row>122</xdr:row>
      <xdr:rowOff>136431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78A89A05-0C53-467F-B49B-7B7F6C1F7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97548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1743075</xdr:colOff>
      <xdr:row>118</xdr:row>
      <xdr:rowOff>57150</xdr:rowOff>
    </xdr:from>
    <xdr:to>
      <xdr:col>2</xdr:col>
      <xdr:colOff>266726</xdr:colOff>
      <xdr:row>120</xdr:row>
      <xdr:rowOff>117381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82E0FF33-F4A2-4ECA-9747-3814A8A69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941195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1771650</xdr:colOff>
      <xdr:row>122</xdr:row>
      <xdr:rowOff>76200</xdr:rowOff>
    </xdr:from>
    <xdr:to>
      <xdr:col>2</xdr:col>
      <xdr:colOff>295301</xdr:colOff>
      <xdr:row>124</xdr:row>
      <xdr:rowOff>136431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D4CBA73E-C014-4CAD-8F01-523936429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20078700"/>
          <a:ext cx="304826" cy="384081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124</xdr:row>
      <xdr:rowOff>85725</xdr:rowOff>
    </xdr:from>
    <xdr:to>
      <xdr:col>2</xdr:col>
      <xdr:colOff>285776</xdr:colOff>
      <xdr:row>126</xdr:row>
      <xdr:rowOff>145956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B25131F2-2023-4A79-BC32-B352A90EF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20412075"/>
          <a:ext cx="304826" cy="384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kretariat@malang.rs-primahusad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83"/>
  <sheetViews>
    <sheetView tabSelected="1" workbookViewId="0">
      <selection activeCell="E132" sqref="E132"/>
    </sheetView>
  </sheetViews>
  <sheetFormatPr defaultColWidth="14.42578125" defaultRowHeight="15" customHeight="1"/>
  <cols>
    <col min="1" max="1" width="6.42578125" customWidth="1"/>
    <col min="2" max="2" width="26.7109375" customWidth="1"/>
    <col min="3" max="3" width="39.5703125" customWidth="1"/>
    <col min="4" max="5" width="11.7109375" customWidth="1"/>
    <col min="6" max="26" width="9.28515625" customWidth="1"/>
  </cols>
  <sheetData>
    <row r="1" spans="1:26" ht="13.5" customHeight="1">
      <c r="A1" s="62" t="s">
        <v>0</v>
      </c>
      <c r="B1" s="63"/>
      <c r="C1" s="63"/>
      <c r="D1" s="63"/>
      <c r="E1" s="6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63"/>
      <c r="B2" s="63"/>
      <c r="C2" s="63"/>
      <c r="D2" s="63"/>
      <c r="E2" s="6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2"/>
      <c r="B3" s="3"/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>
      <c r="A4" s="2" t="s">
        <v>1</v>
      </c>
      <c r="B4" s="3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.25" customHeight="1">
      <c r="A5" s="3">
        <v>1</v>
      </c>
      <c r="B5" s="3" t="s">
        <v>2</v>
      </c>
      <c r="C5" s="72" t="s">
        <v>189</v>
      </c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3">
        <v>2</v>
      </c>
      <c r="B6" s="3" t="s">
        <v>3</v>
      </c>
      <c r="C6" s="72" t="s">
        <v>190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3"/>
      <c r="B7" s="3"/>
      <c r="C7" s="72" t="s">
        <v>191</v>
      </c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>
        <v>3</v>
      </c>
      <c r="B8" s="3" t="s">
        <v>4</v>
      </c>
      <c r="C8" s="73">
        <v>65153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3">
        <v>4</v>
      </c>
      <c r="B9" s="3" t="s">
        <v>5</v>
      </c>
      <c r="C9" s="72" t="s">
        <v>192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3">
        <v>5</v>
      </c>
      <c r="B10" s="3" t="s">
        <v>6</v>
      </c>
      <c r="C10" s="74" t="s">
        <v>193</v>
      </c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3">
        <v>6</v>
      </c>
      <c r="B11" s="3" t="s">
        <v>7</v>
      </c>
      <c r="C11" s="72" t="s">
        <v>194</v>
      </c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3">
        <v>7</v>
      </c>
      <c r="B12" s="3" t="s">
        <v>8</v>
      </c>
      <c r="C12" s="3" t="s">
        <v>9</v>
      </c>
      <c r="D12" s="3" t="s">
        <v>195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3"/>
      <c r="B13" s="3"/>
      <c r="C13" s="3" t="s">
        <v>10</v>
      </c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3"/>
      <c r="B14" s="4"/>
      <c r="C14" s="3" t="s">
        <v>11</v>
      </c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3">
        <v>8</v>
      </c>
      <c r="B15" s="3" t="s">
        <v>12</v>
      </c>
      <c r="C15" s="2" t="s">
        <v>13</v>
      </c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2"/>
      <c r="B16" s="3"/>
      <c r="C16" s="2" t="s">
        <v>14</v>
      </c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3"/>
      <c r="B17" s="1"/>
      <c r="C17" s="2" t="s">
        <v>15</v>
      </c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2"/>
      <c r="B18" s="3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2" t="s">
        <v>16</v>
      </c>
      <c r="B19" s="3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3">
        <v>1</v>
      </c>
      <c r="B20" s="3" t="s">
        <v>17</v>
      </c>
      <c r="C20" s="59" t="s">
        <v>196</v>
      </c>
      <c r="D20" s="54"/>
      <c r="E20" s="7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3">
        <v>2</v>
      </c>
      <c r="B21" s="3" t="s">
        <v>18</v>
      </c>
      <c r="C21" s="59" t="s">
        <v>197</v>
      </c>
      <c r="D21" s="54"/>
      <c r="E21" s="7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3">
        <v>3</v>
      </c>
      <c r="B22" s="3" t="s">
        <v>6</v>
      </c>
      <c r="C22" s="59" t="s">
        <v>198</v>
      </c>
      <c r="D22" s="54"/>
      <c r="E22" s="7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3"/>
      <c r="B23" s="3"/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64" t="s">
        <v>19</v>
      </c>
      <c r="B24" s="65"/>
      <c r="C24" s="65"/>
      <c r="D24" s="65"/>
      <c r="E24" s="6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67"/>
      <c r="B25" s="68"/>
      <c r="C25" s="68"/>
      <c r="D25" s="68"/>
      <c r="E25" s="6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customHeight="1">
      <c r="A26" s="6"/>
      <c r="B26" s="7"/>
      <c r="C26" s="7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customHeight="1">
      <c r="A27" s="8">
        <v>1</v>
      </c>
      <c r="B27" s="70" t="s">
        <v>20</v>
      </c>
      <c r="C27" s="38"/>
      <c r="D27" s="9" t="s">
        <v>21</v>
      </c>
      <c r="E27" s="1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customHeight="1">
      <c r="A28" s="8">
        <v>2</v>
      </c>
      <c r="B28" s="70" t="s">
        <v>22</v>
      </c>
      <c r="C28" s="38"/>
      <c r="D28" s="9" t="s">
        <v>21</v>
      </c>
      <c r="E28" s="1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customHeight="1">
      <c r="A29" s="8">
        <v>3</v>
      </c>
      <c r="B29" s="70" t="s">
        <v>23</v>
      </c>
      <c r="C29" s="38"/>
      <c r="D29" s="9" t="s">
        <v>21</v>
      </c>
      <c r="E29" s="1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customHeight="1">
      <c r="A30" s="8">
        <v>4</v>
      </c>
      <c r="B30" s="70" t="s">
        <v>24</v>
      </c>
      <c r="C30" s="38"/>
      <c r="D30" s="9" t="s">
        <v>21</v>
      </c>
      <c r="E30" s="1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3"/>
      <c r="B31" s="3"/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71" t="s">
        <v>25</v>
      </c>
      <c r="B32" s="63"/>
      <c r="C32" s="63"/>
      <c r="D32" s="63"/>
      <c r="E32" s="6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63"/>
      <c r="B33" s="63"/>
      <c r="C33" s="63"/>
      <c r="D33" s="63"/>
      <c r="E33" s="6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3"/>
      <c r="B34" s="11"/>
      <c r="C34" s="11"/>
      <c r="D34" s="11"/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2" t="s">
        <v>26</v>
      </c>
      <c r="B35" s="1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2" t="s">
        <v>27</v>
      </c>
      <c r="B36" s="13" t="s">
        <v>28</v>
      </c>
      <c r="C36" s="12" t="s">
        <v>29</v>
      </c>
      <c r="D36" s="12" t="s">
        <v>30</v>
      </c>
      <c r="E36" s="13" t="s">
        <v>31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53" t="s">
        <v>32</v>
      </c>
      <c r="B37" s="37"/>
      <c r="C37" s="37"/>
      <c r="D37" s="38"/>
      <c r="E37" s="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2">
        <v>1</v>
      </c>
      <c r="B38" s="49" t="s">
        <v>33</v>
      </c>
      <c r="C38" s="14" t="s">
        <v>34</v>
      </c>
      <c r="D38" s="15">
        <v>0</v>
      </c>
      <c r="E38" s="45">
        <v>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43"/>
      <c r="B39" s="43"/>
      <c r="C39" s="14" t="s">
        <v>35</v>
      </c>
      <c r="D39" s="15">
        <v>1</v>
      </c>
      <c r="E39" s="4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47">
        <v>2</v>
      </c>
      <c r="B40" s="50" t="s">
        <v>36</v>
      </c>
      <c r="C40" s="14" t="s">
        <v>37</v>
      </c>
      <c r="D40" s="15">
        <v>0</v>
      </c>
      <c r="E40" s="45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57"/>
      <c r="B41" s="43"/>
      <c r="C41" s="14" t="s">
        <v>38</v>
      </c>
      <c r="D41" s="15">
        <v>2</v>
      </c>
      <c r="E41" s="4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52">
        <v>3</v>
      </c>
      <c r="B42" s="49" t="s">
        <v>39</v>
      </c>
      <c r="C42" s="14" t="s">
        <v>40</v>
      </c>
      <c r="D42" s="15">
        <v>0</v>
      </c>
      <c r="E42" s="45">
        <v>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3"/>
      <c r="B43" s="61"/>
      <c r="C43" s="14" t="s">
        <v>41</v>
      </c>
      <c r="D43" s="15">
        <v>1</v>
      </c>
      <c r="E43" s="4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52">
        <v>4</v>
      </c>
      <c r="B44" s="49" t="s">
        <v>42</v>
      </c>
      <c r="C44" s="14" t="s">
        <v>43</v>
      </c>
      <c r="D44" s="15">
        <v>0</v>
      </c>
      <c r="E44" s="45">
        <v>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3"/>
      <c r="B45" s="43"/>
      <c r="C45" s="14" t="s">
        <v>44</v>
      </c>
      <c r="D45" s="15">
        <v>1</v>
      </c>
      <c r="E45" s="4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6" t="s">
        <v>45</v>
      </c>
      <c r="B46" s="17"/>
      <c r="C46" s="18"/>
      <c r="D46" s="18"/>
      <c r="E46" s="1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2">
        <v>1</v>
      </c>
      <c r="B47" s="49" t="s">
        <v>46</v>
      </c>
      <c r="C47" s="14" t="s">
        <v>47</v>
      </c>
      <c r="D47" s="20">
        <v>0</v>
      </c>
      <c r="E47" s="42">
        <v>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43"/>
      <c r="B48" s="43"/>
      <c r="C48" s="14" t="s">
        <v>48</v>
      </c>
      <c r="D48" s="20">
        <v>1</v>
      </c>
      <c r="E48" s="4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45">
        <v>2</v>
      </c>
      <c r="B49" s="50" t="s">
        <v>49</v>
      </c>
      <c r="C49" s="14" t="s">
        <v>50</v>
      </c>
      <c r="D49" s="15">
        <v>0</v>
      </c>
      <c r="E49" s="45">
        <v>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43"/>
      <c r="B50" s="43"/>
      <c r="C50" s="14" t="s">
        <v>51</v>
      </c>
      <c r="D50" s="15">
        <v>1</v>
      </c>
      <c r="E50" s="4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45">
        <v>3</v>
      </c>
      <c r="B51" s="50" t="s">
        <v>52</v>
      </c>
      <c r="C51" s="14" t="s">
        <v>53</v>
      </c>
      <c r="D51" s="15">
        <v>0</v>
      </c>
      <c r="E51" s="45">
        <v>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43"/>
      <c r="B52" s="43"/>
      <c r="C52" s="14" t="s">
        <v>54</v>
      </c>
      <c r="D52" s="15">
        <v>1</v>
      </c>
      <c r="E52" s="4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58" t="s">
        <v>55</v>
      </c>
      <c r="B53" s="37"/>
      <c r="C53" s="37"/>
      <c r="D53" s="38"/>
      <c r="E53" s="13">
        <f>SUM(E38:E52)</f>
        <v>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2"/>
      <c r="B54" s="21"/>
      <c r="C54" s="3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2" t="s">
        <v>56</v>
      </c>
      <c r="B55" s="21"/>
      <c r="C55" s="3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2" t="s">
        <v>27</v>
      </c>
      <c r="B56" s="13" t="s">
        <v>28</v>
      </c>
      <c r="C56" s="12" t="s">
        <v>29</v>
      </c>
      <c r="D56" s="12" t="s">
        <v>30</v>
      </c>
      <c r="E56" s="13" t="s">
        <v>31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59" t="s">
        <v>57</v>
      </c>
      <c r="B57" s="37"/>
      <c r="C57" s="37"/>
      <c r="D57" s="38"/>
      <c r="E57" s="2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47">
        <v>1</v>
      </c>
      <c r="B58" s="60" t="s">
        <v>58</v>
      </c>
      <c r="C58" s="14" t="s">
        <v>59</v>
      </c>
      <c r="D58" s="15">
        <v>0</v>
      </c>
      <c r="E58" s="47">
        <v>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43"/>
      <c r="B59" s="43"/>
      <c r="C59" s="14" t="s">
        <v>60</v>
      </c>
      <c r="D59" s="15">
        <v>1</v>
      </c>
      <c r="E59" s="4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47">
        <v>2</v>
      </c>
      <c r="B60" s="50" t="s">
        <v>61</v>
      </c>
      <c r="C60" s="14" t="s">
        <v>62</v>
      </c>
      <c r="D60" s="15">
        <v>0</v>
      </c>
      <c r="E60" s="45">
        <v>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43"/>
      <c r="B61" s="43"/>
      <c r="C61" s="14" t="s">
        <v>63</v>
      </c>
      <c r="D61" s="15">
        <v>1</v>
      </c>
      <c r="E61" s="4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47">
        <v>3</v>
      </c>
      <c r="B62" s="50" t="s">
        <v>64</v>
      </c>
      <c r="C62" s="14" t="s">
        <v>65</v>
      </c>
      <c r="D62" s="15">
        <v>0</v>
      </c>
      <c r="E62" s="45">
        <v>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43"/>
      <c r="B63" s="43"/>
      <c r="C63" s="14" t="s">
        <v>66</v>
      </c>
      <c r="D63" s="15">
        <v>1</v>
      </c>
      <c r="E63" s="4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47">
        <v>4</v>
      </c>
      <c r="B64" s="50" t="s">
        <v>67</v>
      </c>
      <c r="C64" s="14" t="s">
        <v>68</v>
      </c>
      <c r="D64" s="15">
        <v>0</v>
      </c>
      <c r="E64" s="45">
        <v>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43"/>
      <c r="B65" s="43"/>
      <c r="C65" s="14" t="s">
        <v>69</v>
      </c>
      <c r="D65" s="15">
        <v>1</v>
      </c>
      <c r="E65" s="4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47">
        <v>5</v>
      </c>
      <c r="B66" s="50" t="s">
        <v>70</v>
      </c>
      <c r="C66" s="14" t="s">
        <v>71</v>
      </c>
      <c r="D66" s="15">
        <v>0</v>
      </c>
      <c r="E66" s="45">
        <v>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57"/>
      <c r="B67" s="57"/>
      <c r="C67" s="14" t="s">
        <v>72</v>
      </c>
      <c r="D67" s="15">
        <v>1</v>
      </c>
      <c r="E67" s="5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57"/>
      <c r="B68" s="57"/>
      <c r="C68" s="14" t="s">
        <v>73</v>
      </c>
      <c r="D68" s="15">
        <v>1</v>
      </c>
      <c r="E68" s="5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43"/>
      <c r="B69" s="43"/>
      <c r="C69" s="14" t="s">
        <v>74</v>
      </c>
      <c r="D69" s="15">
        <v>2</v>
      </c>
      <c r="E69" s="4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52">
        <v>6</v>
      </c>
      <c r="B70" s="49" t="s">
        <v>75</v>
      </c>
      <c r="C70" s="9" t="s">
        <v>76</v>
      </c>
      <c r="D70" s="20">
        <v>0</v>
      </c>
      <c r="E70" s="42">
        <v>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43"/>
      <c r="B71" s="43"/>
      <c r="C71" s="9" t="s">
        <v>77</v>
      </c>
      <c r="D71" s="20">
        <v>1</v>
      </c>
      <c r="E71" s="4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52">
        <v>7</v>
      </c>
      <c r="B72" s="49" t="s">
        <v>78</v>
      </c>
      <c r="C72" s="9" t="s">
        <v>79</v>
      </c>
      <c r="D72" s="20">
        <v>0</v>
      </c>
      <c r="E72" s="42">
        <v>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43"/>
      <c r="B73" s="43"/>
      <c r="C73" s="9" t="s">
        <v>80</v>
      </c>
      <c r="D73" s="20">
        <v>1</v>
      </c>
      <c r="E73" s="4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53" t="s">
        <v>81</v>
      </c>
      <c r="B74" s="37"/>
      <c r="C74" s="37"/>
      <c r="D74" s="54"/>
      <c r="E74" s="2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52">
        <v>1</v>
      </c>
      <c r="B75" s="49" t="s">
        <v>82</v>
      </c>
      <c r="C75" s="9" t="s">
        <v>83</v>
      </c>
      <c r="D75" s="20">
        <v>0</v>
      </c>
      <c r="E75" s="42">
        <v>1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43"/>
      <c r="B76" s="43"/>
      <c r="C76" s="9" t="s">
        <v>84</v>
      </c>
      <c r="D76" s="20">
        <v>1</v>
      </c>
      <c r="E76" s="4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52">
        <v>2</v>
      </c>
      <c r="B77" s="49" t="s">
        <v>85</v>
      </c>
      <c r="C77" s="9" t="s">
        <v>86</v>
      </c>
      <c r="D77" s="20">
        <v>0</v>
      </c>
      <c r="E77" s="42">
        <v>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43"/>
      <c r="B78" s="43"/>
      <c r="C78" s="9" t="s">
        <v>87</v>
      </c>
      <c r="D78" s="20">
        <v>2</v>
      </c>
      <c r="E78" s="4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52">
        <v>3</v>
      </c>
      <c r="B79" s="49" t="s">
        <v>88</v>
      </c>
      <c r="C79" s="9" t="s">
        <v>89</v>
      </c>
      <c r="D79" s="20">
        <v>0</v>
      </c>
      <c r="E79" s="42">
        <v>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43"/>
      <c r="B80" s="43"/>
      <c r="C80" s="9" t="s">
        <v>90</v>
      </c>
      <c r="D80" s="20">
        <v>2</v>
      </c>
      <c r="E80" s="4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52">
        <v>4</v>
      </c>
      <c r="B81" s="49" t="s">
        <v>91</v>
      </c>
      <c r="C81" s="9" t="s">
        <v>92</v>
      </c>
      <c r="D81" s="20">
        <v>0</v>
      </c>
      <c r="E81" s="42">
        <v>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43"/>
      <c r="B82" s="43"/>
      <c r="C82" s="9" t="s">
        <v>93</v>
      </c>
      <c r="D82" s="20">
        <v>1</v>
      </c>
      <c r="E82" s="4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52">
        <v>5</v>
      </c>
      <c r="B83" s="49" t="s">
        <v>94</v>
      </c>
      <c r="C83" s="9" t="s">
        <v>95</v>
      </c>
      <c r="D83" s="20">
        <v>0</v>
      </c>
      <c r="E83" s="42">
        <v>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43"/>
      <c r="B84" s="43"/>
      <c r="C84" s="9" t="s">
        <v>96</v>
      </c>
      <c r="D84" s="20">
        <v>1</v>
      </c>
      <c r="E84" s="4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52">
        <v>6</v>
      </c>
      <c r="B85" s="49" t="s">
        <v>97</v>
      </c>
      <c r="C85" s="9" t="s">
        <v>98</v>
      </c>
      <c r="D85" s="20">
        <v>0</v>
      </c>
      <c r="E85" s="42">
        <v>1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43"/>
      <c r="B86" s="43"/>
      <c r="C86" s="9" t="s">
        <v>99</v>
      </c>
      <c r="D86" s="20">
        <v>1</v>
      </c>
      <c r="E86" s="4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52">
        <v>7</v>
      </c>
      <c r="B87" s="49" t="s">
        <v>100</v>
      </c>
      <c r="C87" s="9" t="s">
        <v>101</v>
      </c>
      <c r="D87" s="20">
        <v>0</v>
      </c>
      <c r="E87" s="42">
        <v>1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43"/>
      <c r="B88" s="43"/>
      <c r="C88" s="9" t="s">
        <v>102</v>
      </c>
      <c r="D88" s="20">
        <v>1</v>
      </c>
      <c r="E88" s="4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53" t="s">
        <v>103</v>
      </c>
      <c r="B89" s="37"/>
      <c r="C89" s="37"/>
      <c r="D89" s="54"/>
      <c r="E89" s="2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52">
        <v>1</v>
      </c>
      <c r="B90" s="49" t="s">
        <v>104</v>
      </c>
      <c r="C90" s="9" t="s">
        <v>105</v>
      </c>
      <c r="D90" s="20">
        <v>0</v>
      </c>
      <c r="E90" s="42">
        <v>1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43"/>
      <c r="B91" s="43"/>
      <c r="C91" s="9" t="s">
        <v>106</v>
      </c>
      <c r="D91" s="20">
        <v>1</v>
      </c>
      <c r="E91" s="4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52">
        <v>2</v>
      </c>
      <c r="B92" s="49" t="s">
        <v>107</v>
      </c>
      <c r="C92" s="9" t="s">
        <v>108</v>
      </c>
      <c r="D92" s="20">
        <v>0</v>
      </c>
      <c r="E92" s="42">
        <v>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43"/>
      <c r="B93" s="43"/>
      <c r="C93" s="9" t="s">
        <v>109</v>
      </c>
      <c r="D93" s="20">
        <v>1</v>
      </c>
      <c r="E93" s="4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52">
        <v>3</v>
      </c>
      <c r="B94" s="49" t="s">
        <v>110</v>
      </c>
      <c r="C94" s="9" t="s">
        <v>111</v>
      </c>
      <c r="D94" s="20">
        <v>0</v>
      </c>
      <c r="E94" s="42">
        <v>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43"/>
      <c r="B95" s="43"/>
      <c r="C95" s="9" t="s">
        <v>112</v>
      </c>
      <c r="D95" s="20">
        <v>1</v>
      </c>
      <c r="E95" s="4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52">
        <v>4</v>
      </c>
      <c r="B96" s="49" t="s">
        <v>113</v>
      </c>
      <c r="C96" s="9" t="s">
        <v>114</v>
      </c>
      <c r="D96" s="20">
        <v>0</v>
      </c>
      <c r="E96" s="42">
        <v>1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43"/>
      <c r="B97" s="43"/>
      <c r="C97" s="9" t="s">
        <v>115</v>
      </c>
      <c r="D97" s="20">
        <v>1</v>
      </c>
      <c r="E97" s="4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52">
        <v>5</v>
      </c>
      <c r="B98" s="49" t="s">
        <v>116</v>
      </c>
      <c r="C98" s="9" t="s">
        <v>117</v>
      </c>
      <c r="D98" s="20">
        <v>0</v>
      </c>
      <c r="E98" s="42">
        <v>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43"/>
      <c r="B99" s="43"/>
      <c r="C99" s="9" t="s">
        <v>118</v>
      </c>
      <c r="D99" s="20">
        <v>1</v>
      </c>
      <c r="E99" s="4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52">
        <v>6</v>
      </c>
      <c r="B100" s="49" t="s">
        <v>119</v>
      </c>
      <c r="C100" s="9" t="s">
        <v>120</v>
      </c>
      <c r="D100" s="20">
        <v>0</v>
      </c>
      <c r="E100" s="42">
        <v>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43"/>
      <c r="B101" s="43"/>
      <c r="C101" s="9" t="s">
        <v>121</v>
      </c>
      <c r="D101" s="20">
        <v>1</v>
      </c>
      <c r="E101" s="4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52">
        <v>7</v>
      </c>
      <c r="B102" s="49" t="s">
        <v>122</v>
      </c>
      <c r="C102" s="9" t="s">
        <v>123</v>
      </c>
      <c r="D102" s="20">
        <v>0</v>
      </c>
      <c r="E102" s="42">
        <v>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43"/>
      <c r="B103" s="43"/>
      <c r="C103" s="9" t="s">
        <v>124</v>
      </c>
      <c r="D103" s="20">
        <v>1</v>
      </c>
      <c r="E103" s="4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52">
        <v>8</v>
      </c>
      <c r="B104" s="49" t="s">
        <v>125</v>
      </c>
      <c r="C104" s="9" t="s">
        <v>126</v>
      </c>
      <c r="D104" s="20">
        <v>0</v>
      </c>
      <c r="E104" s="42">
        <v>1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43"/>
      <c r="B105" s="43"/>
      <c r="C105" s="9" t="s">
        <v>127</v>
      </c>
      <c r="D105" s="20">
        <v>1</v>
      </c>
      <c r="E105" s="4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47">
        <v>9</v>
      </c>
      <c r="B106" s="56" t="s">
        <v>128</v>
      </c>
      <c r="C106" s="9" t="s">
        <v>129</v>
      </c>
      <c r="D106" s="20">
        <v>0</v>
      </c>
      <c r="E106" s="42">
        <v>1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43"/>
      <c r="B107" s="43"/>
      <c r="C107" s="9" t="s">
        <v>130</v>
      </c>
      <c r="D107" s="20">
        <v>1</v>
      </c>
      <c r="E107" s="4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47">
        <v>10</v>
      </c>
      <c r="B108" s="50" t="s">
        <v>131</v>
      </c>
      <c r="C108" s="9" t="s">
        <v>132</v>
      </c>
      <c r="D108" s="20">
        <v>0</v>
      </c>
      <c r="E108" s="42">
        <v>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43"/>
      <c r="B109" s="43"/>
      <c r="C109" s="9" t="s">
        <v>133</v>
      </c>
      <c r="D109" s="20">
        <v>1</v>
      </c>
      <c r="E109" s="4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47">
        <v>11</v>
      </c>
      <c r="B110" s="50" t="s">
        <v>134</v>
      </c>
      <c r="C110" s="14" t="s">
        <v>135</v>
      </c>
      <c r="D110" s="15">
        <v>0</v>
      </c>
      <c r="E110" s="45">
        <v>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43"/>
      <c r="B111" s="43"/>
      <c r="C111" s="14" t="s">
        <v>136</v>
      </c>
      <c r="D111" s="15">
        <v>1</v>
      </c>
      <c r="E111" s="4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46" t="s">
        <v>137</v>
      </c>
      <c r="B112" s="37"/>
      <c r="C112" s="37"/>
      <c r="D112" s="38"/>
      <c r="E112" s="24">
        <f>SUM(E58:E111)</f>
        <v>28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25"/>
      <c r="B113" s="25"/>
      <c r="C113" s="25"/>
      <c r="D113" s="25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6" t="s">
        <v>138</v>
      </c>
      <c r="B114" s="25"/>
      <c r="C114" s="25"/>
      <c r="D114" s="25"/>
      <c r="E114" s="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52">
        <v>1</v>
      </c>
      <c r="B115" s="51" t="s">
        <v>139</v>
      </c>
      <c r="C115" s="9" t="s">
        <v>140</v>
      </c>
      <c r="D115" s="20">
        <v>0</v>
      </c>
      <c r="E115" s="42">
        <v>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43"/>
      <c r="B116" s="43"/>
      <c r="C116" s="9" t="s">
        <v>141</v>
      </c>
      <c r="D116" s="20">
        <v>2</v>
      </c>
      <c r="E116" s="4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55">
        <v>2</v>
      </c>
      <c r="B117" s="48" t="s">
        <v>142</v>
      </c>
      <c r="C117" s="26" t="s">
        <v>143</v>
      </c>
      <c r="D117" s="27">
        <v>0</v>
      </c>
      <c r="E117" s="44">
        <v>2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43"/>
      <c r="B118" s="43"/>
      <c r="C118" s="9" t="s">
        <v>144</v>
      </c>
      <c r="D118" s="20">
        <v>2</v>
      </c>
      <c r="E118" s="4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52">
        <v>3</v>
      </c>
      <c r="B119" s="49" t="s">
        <v>145</v>
      </c>
      <c r="C119" s="9" t="s">
        <v>146</v>
      </c>
      <c r="D119" s="20">
        <v>0</v>
      </c>
      <c r="E119" s="42">
        <v>2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43"/>
      <c r="B120" s="43"/>
      <c r="C120" s="9" t="s">
        <v>147</v>
      </c>
      <c r="D120" s="20">
        <v>2</v>
      </c>
      <c r="E120" s="4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47">
        <v>4</v>
      </c>
      <c r="B121" s="49" t="s">
        <v>148</v>
      </c>
      <c r="C121" s="9" t="s">
        <v>149</v>
      </c>
      <c r="D121" s="20">
        <v>0</v>
      </c>
      <c r="E121" s="42">
        <v>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43"/>
      <c r="B122" s="43"/>
      <c r="C122" s="9" t="s">
        <v>150</v>
      </c>
      <c r="D122" s="20">
        <v>2</v>
      </c>
      <c r="E122" s="4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47">
        <v>5</v>
      </c>
      <c r="B123" s="50" t="s">
        <v>151</v>
      </c>
      <c r="C123" s="14" t="s">
        <v>152</v>
      </c>
      <c r="D123" s="15">
        <v>1</v>
      </c>
      <c r="E123" s="45">
        <v>2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43"/>
      <c r="B124" s="43"/>
      <c r="C124" s="14" t="s">
        <v>153</v>
      </c>
      <c r="D124" s="15">
        <v>2</v>
      </c>
      <c r="E124" s="4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47">
        <v>6</v>
      </c>
      <c r="B125" s="50" t="s">
        <v>154</v>
      </c>
      <c r="C125" s="14" t="s">
        <v>155</v>
      </c>
      <c r="D125" s="15">
        <v>1</v>
      </c>
      <c r="E125" s="45">
        <v>2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43"/>
      <c r="B126" s="43"/>
      <c r="C126" s="14" t="s">
        <v>156</v>
      </c>
      <c r="D126" s="15">
        <v>2</v>
      </c>
      <c r="E126" s="4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46" t="s">
        <v>157</v>
      </c>
      <c r="B127" s="37"/>
      <c r="C127" s="37"/>
      <c r="D127" s="38"/>
      <c r="E127" s="24">
        <f>SUM(E115:E126)</f>
        <v>12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25"/>
      <c r="B128" s="25"/>
      <c r="C128" s="25"/>
      <c r="D128" s="25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24" t="s">
        <v>27</v>
      </c>
      <c r="B129" s="24" t="s">
        <v>158</v>
      </c>
      <c r="C129" s="24" t="s">
        <v>159</v>
      </c>
      <c r="D129" s="24" t="s">
        <v>160</v>
      </c>
      <c r="E129" s="24" t="s">
        <v>161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8" t="s">
        <v>162</v>
      </c>
      <c r="B130" s="8" t="s">
        <v>163</v>
      </c>
      <c r="C130" s="8" t="s">
        <v>164</v>
      </c>
      <c r="D130" s="8" t="s">
        <v>165</v>
      </c>
      <c r="E130" s="8" t="s">
        <v>166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28">
        <v>1</v>
      </c>
      <c r="B131" s="28" t="s">
        <v>167</v>
      </c>
      <c r="C131" s="28">
        <f>E53</f>
        <v>8</v>
      </c>
      <c r="D131" s="28">
        <v>4</v>
      </c>
      <c r="E131" s="28">
        <f t="shared" ref="E131:E133" si="0">C131*D131</f>
        <v>32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28">
        <v>2</v>
      </c>
      <c r="B132" s="28" t="s">
        <v>168</v>
      </c>
      <c r="C132" s="28">
        <f>E112</f>
        <v>28</v>
      </c>
      <c r="D132" s="28">
        <v>3</v>
      </c>
      <c r="E132" s="28">
        <f t="shared" si="0"/>
        <v>84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28">
        <v>3</v>
      </c>
      <c r="B133" s="28" t="s">
        <v>169</v>
      </c>
      <c r="C133" s="28">
        <f>E127</f>
        <v>12</v>
      </c>
      <c r="D133" s="28">
        <v>2</v>
      </c>
      <c r="E133" s="28">
        <f t="shared" si="0"/>
        <v>24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36" t="s">
        <v>170</v>
      </c>
      <c r="B134" s="37"/>
      <c r="C134" s="37"/>
      <c r="D134" s="38"/>
      <c r="E134" s="24">
        <f>SUM(E131:E133)</f>
        <v>140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25"/>
      <c r="B135" s="25"/>
      <c r="C135" s="29"/>
      <c r="D135" s="25"/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39" t="s">
        <v>171</v>
      </c>
      <c r="B136" s="37"/>
      <c r="C136" s="37"/>
      <c r="D136" s="38"/>
      <c r="E136" s="30">
        <f>SUM(E134/140)*100%</f>
        <v>1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31"/>
      <c r="B137" s="31"/>
      <c r="C137" s="31"/>
      <c r="D137" s="31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24" t="s">
        <v>27</v>
      </c>
      <c r="B138" s="24" t="s">
        <v>172</v>
      </c>
      <c r="C138" s="24" t="s">
        <v>173</v>
      </c>
      <c r="D138" s="32"/>
      <c r="E138" s="3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8">
        <v>1</v>
      </c>
      <c r="B139" s="10" t="s">
        <v>174</v>
      </c>
      <c r="C139" s="8" t="s">
        <v>175</v>
      </c>
      <c r="D139" s="6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8">
        <v>2</v>
      </c>
      <c r="B140" s="10" t="s">
        <v>176</v>
      </c>
      <c r="C140" s="8" t="s">
        <v>177</v>
      </c>
      <c r="D140" s="6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8">
        <v>3</v>
      </c>
      <c r="B141" s="10" t="s">
        <v>178</v>
      </c>
      <c r="C141" s="8" t="s">
        <v>179</v>
      </c>
      <c r="D141" s="6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5"/>
      <c r="B142" s="5"/>
      <c r="C142" s="5"/>
      <c r="D142" s="5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34"/>
      <c r="B143" s="35"/>
      <c r="C143" s="35" t="s">
        <v>188</v>
      </c>
      <c r="D143" s="35"/>
      <c r="E143" s="3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34"/>
      <c r="B144" s="35"/>
      <c r="C144" s="35" t="s">
        <v>180</v>
      </c>
      <c r="D144" s="40"/>
      <c r="E144" s="4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34"/>
      <c r="B145" s="35"/>
      <c r="C145" s="34"/>
      <c r="D145" s="34"/>
      <c r="E145" s="3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34"/>
      <c r="B146" s="35"/>
      <c r="C146" s="34"/>
      <c r="D146" s="34"/>
      <c r="E146" s="3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34"/>
      <c r="B147" s="35"/>
      <c r="C147" s="34"/>
      <c r="D147" s="34"/>
      <c r="E147" s="3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34"/>
      <c r="B148" s="35"/>
      <c r="C148" s="34"/>
      <c r="D148" s="34"/>
      <c r="E148" s="3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34"/>
      <c r="B149" s="35" t="s">
        <v>183</v>
      </c>
      <c r="C149" s="34"/>
      <c r="D149" s="40" t="s">
        <v>184</v>
      </c>
      <c r="E149" s="4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34"/>
      <c r="B150" s="35" t="s">
        <v>185</v>
      </c>
      <c r="C150" s="34"/>
      <c r="D150" s="40" t="s">
        <v>186</v>
      </c>
      <c r="E150" s="4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26" ht="12.75" customHeight="1">
      <c r="A152" s="1"/>
      <c r="B152" s="1"/>
      <c r="C152" s="35" t="s">
        <v>181</v>
      </c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26" ht="12.75" customHeight="1">
      <c r="A153" s="1"/>
      <c r="B153" s="1"/>
      <c r="C153" s="35"/>
      <c r="D153" s="3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26" ht="12.75" customHeight="1">
      <c r="A154" s="1"/>
      <c r="B154" s="1"/>
      <c r="C154" s="35"/>
      <c r="D154" s="3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26" ht="12.75" customHeight="1">
      <c r="A155" s="1"/>
      <c r="B155" s="1"/>
      <c r="C155" s="35"/>
      <c r="D155" s="3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26" ht="12.75" customHeight="1">
      <c r="A156" s="1"/>
      <c r="B156" s="1"/>
      <c r="C156" s="35"/>
      <c r="D156" s="3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26" ht="12.75" customHeight="1">
      <c r="A157" s="1"/>
      <c r="B157" s="1"/>
      <c r="C157" s="35" t="s">
        <v>187</v>
      </c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26" ht="12.75" customHeight="1">
      <c r="A158" s="1"/>
      <c r="B158" s="1"/>
      <c r="C158" s="35" t="s">
        <v>182</v>
      </c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</sheetData>
  <mergeCells count="136">
    <mergeCell ref="A1:E2"/>
    <mergeCell ref="A24:E25"/>
    <mergeCell ref="B27:C27"/>
    <mergeCell ref="B28:C28"/>
    <mergeCell ref="B29:C29"/>
    <mergeCell ref="B30:C30"/>
    <mergeCell ref="A32:E33"/>
    <mergeCell ref="A37:D37"/>
    <mergeCell ref="A38:A39"/>
    <mergeCell ref="B38:B39"/>
    <mergeCell ref="E38:E39"/>
    <mergeCell ref="C20:E20"/>
    <mergeCell ref="C21:E21"/>
    <mergeCell ref="C22:E22"/>
    <mergeCell ref="A40:A41"/>
    <mergeCell ref="B40:B41"/>
    <mergeCell ref="E40:E41"/>
    <mergeCell ref="A42:A43"/>
    <mergeCell ref="B42:B43"/>
    <mergeCell ref="E42:E43"/>
    <mergeCell ref="A44:A45"/>
    <mergeCell ref="B44:B45"/>
    <mergeCell ref="A47:A48"/>
    <mergeCell ref="B47:B48"/>
    <mergeCell ref="A49:A50"/>
    <mergeCell ref="B49:B50"/>
    <mergeCell ref="A51:A52"/>
    <mergeCell ref="B51:B52"/>
    <mergeCell ref="A53:D53"/>
    <mergeCell ref="A57:D57"/>
    <mergeCell ref="B58:B59"/>
    <mergeCell ref="A58:A59"/>
    <mergeCell ref="A60:A61"/>
    <mergeCell ref="B60:B61"/>
    <mergeCell ref="E64:E65"/>
    <mergeCell ref="E66:E69"/>
    <mergeCell ref="E70:E71"/>
    <mergeCell ref="E72:E73"/>
    <mergeCell ref="E44:E45"/>
    <mergeCell ref="E47:E48"/>
    <mergeCell ref="E49:E50"/>
    <mergeCell ref="E51:E52"/>
    <mergeCell ref="E58:E59"/>
    <mergeCell ref="E60:E61"/>
    <mergeCell ref="E62:E63"/>
    <mergeCell ref="B90:B91"/>
    <mergeCell ref="A92:A93"/>
    <mergeCell ref="B92:B93"/>
    <mergeCell ref="A94:A95"/>
    <mergeCell ref="B94:B95"/>
    <mergeCell ref="B96:B97"/>
    <mergeCell ref="A96:A97"/>
    <mergeCell ref="A98:A99"/>
    <mergeCell ref="A62:A63"/>
    <mergeCell ref="B62:B63"/>
    <mergeCell ref="A64:A65"/>
    <mergeCell ref="B64:B65"/>
    <mergeCell ref="A66:A69"/>
    <mergeCell ref="B66:B69"/>
    <mergeCell ref="A70:A71"/>
    <mergeCell ref="B70:B71"/>
    <mergeCell ref="A72:A73"/>
    <mergeCell ref="B72:B73"/>
    <mergeCell ref="A74:D74"/>
    <mergeCell ref="B98:B99"/>
    <mergeCell ref="A90:A91"/>
    <mergeCell ref="A112:D112"/>
    <mergeCell ref="A100:A101"/>
    <mergeCell ref="A102:A103"/>
    <mergeCell ref="B102:B103"/>
    <mergeCell ref="A104:A105"/>
    <mergeCell ref="B104:B105"/>
    <mergeCell ref="A115:A116"/>
    <mergeCell ref="A117:A118"/>
    <mergeCell ref="A119:A120"/>
    <mergeCell ref="B100:B101"/>
    <mergeCell ref="A106:A107"/>
    <mergeCell ref="B106:B107"/>
    <mergeCell ref="A108:A109"/>
    <mergeCell ref="B108:B109"/>
    <mergeCell ref="A110:A111"/>
    <mergeCell ref="B110:B111"/>
    <mergeCell ref="E75:E76"/>
    <mergeCell ref="A77:A78"/>
    <mergeCell ref="B77:B78"/>
    <mergeCell ref="A79:A80"/>
    <mergeCell ref="B79:B80"/>
    <mergeCell ref="B87:B88"/>
    <mergeCell ref="A89:D89"/>
    <mergeCell ref="A81:A82"/>
    <mergeCell ref="B81:B82"/>
    <mergeCell ref="A83:A84"/>
    <mergeCell ref="E77:E78"/>
    <mergeCell ref="E79:E80"/>
    <mergeCell ref="E81:E82"/>
    <mergeCell ref="E83:E84"/>
    <mergeCell ref="E85:E86"/>
    <mergeCell ref="E87:E88"/>
    <mergeCell ref="A75:A76"/>
    <mergeCell ref="B75:B76"/>
    <mergeCell ref="B83:B84"/>
    <mergeCell ref="A85:A86"/>
    <mergeCell ref="B85:B86"/>
    <mergeCell ref="A87:A88"/>
    <mergeCell ref="E106:E107"/>
    <mergeCell ref="E108:E109"/>
    <mergeCell ref="E110:E111"/>
    <mergeCell ref="E96:E97"/>
    <mergeCell ref="E98:E99"/>
    <mergeCell ref="E100:E101"/>
    <mergeCell ref="E102:E103"/>
    <mergeCell ref="E104:E105"/>
    <mergeCell ref="E90:E91"/>
    <mergeCell ref="E92:E93"/>
    <mergeCell ref="E94:E95"/>
    <mergeCell ref="A134:D134"/>
    <mergeCell ref="A136:D136"/>
    <mergeCell ref="D144:E144"/>
    <mergeCell ref="D149:E149"/>
    <mergeCell ref="D150:E150"/>
    <mergeCell ref="E115:E116"/>
    <mergeCell ref="E117:E118"/>
    <mergeCell ref="E119:E120"/>
    <mergeCell ref="E121:E122"/>
    <mergeCell ref="E123:E124"/>
    <mergeCell ref="E125:E126"/>
    <mergeCell ref="A127:D127"/>
    <mergeCell ref="A123:A124"/>
    <mergeCell ref="A125:A126"/>
    <mergeCell ref="B117:B118"/>
    <mergeCell ref="B119:B120"/>
    <mergeCell ref="B121:B122"/>
    <mergeCell ref="B123:B124"/>
    <mergeCell ref="B125:B126"/>
    <mergeCell ref="B115:B116"/>
    <mergeCell ref="A121:A122"/>
  </mergeCells>
  <hyperlinks>
    <hyperlink ref="C10" r:id="rId1" xr:uid="{CF895263-2A18-433F-AE82-251BB8EFEB93}"/>
  </hyperlinks>
  <pageMargins left="0.7" right="0.7" top="0.75" bottom="0.75" header="0" footer="0"/>
  <pageSetup paperSize="9" scale="30" fitToHeight="0" orientation="portrait" r:id="rId2"/>
  <rowBreaks count="3" manualBreakCount="3">
    <brk id="97" man="1"/>
    <brk id="73" man="1"/>
    <brk id="41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PLKK Pratama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setyo</dc:creator>
  <cp:lastModifiedBy>VERIF</cp:lastModifiedBy>
  <cp:lastPrinted>2024-11-11T03:03:59Z</cp:lastPrinted>
  <dcterms:created xsi:type="dcterms:W3CDTF">2022-03-22T01:26:14Z</dcterms:created>
  <dcterms:modified xsi:type="dcterms:W3CDTF">2024-11-15T05:25:30Z</dcterms:modified>
</cp:coreProperties>
</file>