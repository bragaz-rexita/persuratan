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ESA\4. DISPOSISI\SURAT MASUK\2025\02. INTERNAL\"/>
    </mc:Choice>
  </mc:AlternateContent>
  <xr:revisionPtr revIDLastSave="0" documentId="8_{47521BDA-5736-481A-A605-D401B22CD605}" xr6:coauthVersionLast="47" xr6:coauthVersionMax="47" xr10:uidLastSave="{00000000-0000-0000-0000-000000000000}"/>
  <bookViews>
    <workbookView xWindow="-120" yWindow="-120" windowWidth="20730" windowHeight="11160" activeTab="1" xr2:uid="{F0EE0E21-E230-478C-BF25-253EA641E388}"/>
  </bookViews>
  <sheets>
    <sheet name="humas" sheetId="1" r:id="rId1"/>
    <sheet name="bmhp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C8" i="1"/>
  <c r="G55" i="2"/>
  <c r="G46" i="2"/>
  <c r="F45" i="2"/>
  <c r="G44" i="2"/>
  <c r="G43" i="2"/>
  <c r="G42" i="2"/>
  <c r="G41" i="2"/>
  <c r="G40" i="2"/>
  <c r="G39" i="2"/>
  <c r="G37" i="2"/>
  <c r="G36" i="2"/>
  <c r="G35" i="2"/>
  <c r="G34" i="2"/>
  <c r="G33" i="2"/>
  <c r="F31" i="2"/>
  <c r="H45" i="2" l="1"/>
  <c r="H31" i="2"/>
</calcChain>
</file>

<file path=xl/sharedStrings.xml><?xml version="1.0" encoding="utf-8"?>
<sst xmlns="http://schemas.openxmlformats.org/spreadsheetml/2006/main" count="88" uniqueCount="79">
  <si>
    <t>NO</t>
  </si>
  <si>
    <t>NAMA PEMERIKSAAN</t>
  </si>
  <si>
    <r>
      <t>Form Perhitungan Tarif MCU (</t>
    </r>
    <r>
      <rPr>
        <b/>
        <i/>
        <sz val="11"/>
        <color theme="1"/>
        <rFont val="Arial"/>
        <family val="2"/>
      </rPr>
      <t>Medical Check Up</t>
    </r>
    <r>
      <rPr>
        <b/>
        <sz val="11"/>
        <color theme="1"/>
        <rFont val="Arial"/>
        <family val="2"/>
      </rPr>
      <t>)</t>
    </r>
  </si>
  <si>
    <t>A</t>
  </si>
  <si>
    <t>Nama Perusahaan</t>
  </si>
  <si>
    <t>B</t>
  </si>
  <si>
    <t>Periode</t>
  </si>
  <si>
    <t>C</t>
  </si>
  <si>
    <t xml:space="preserve">Tempat dan Alamat </t>
  </si>
  <si>
    <t>D</t>
  </si>
  <si>
    <t>Jadwal Pelaksanaan</t>
  </si>
  <si>
    <t>E</t>
  </si>
  <si>
    <t>Tanggal dan Jam</t>
  </si>
  <si>
    <t>F</t>
  </si>
  <si>
    <t>Transportasi ke Lokasi</t>
  </si>
  <si>
    <t>G</t>
  </si>
  <si>
    <t>Tarif</t>
  </si>
  <si>
    <t>H</t>
  </si>
  <si>
    <t>Jumlah Peserta</t>
  </si>
  <si>
    <t>I</t>
  </si>
  <si>
    <t>Cara Pembayaran</t>
  </si>
  <si>
    <t>: Tagihan jatuh tempo 14 hari dari pengiriman tagihan</t>
  </si>
  <si>
    <t>J</t>
  </si>
  <si>
    <t>No. Surat Kesepakatan</t>
  </si>
  <si>
    <t>: 0000000000000</t>
  </si>
  <si>
    <t>Dengan perhitungan sebagai berikut :</t>
  </si>
  <si>
    <t>JENIS PEMERIKSAAN</t>
  </si>
  <si>
    <t>PEMERIKSAAN</t>
  </si>
  <si>
    <t>BMHP YANG DIGUNAKAN</t>
  </si>
  <si>
    <t>JUMLAH PESERTA</t>
  </si>
  <si>
    <t>HARGA SATUAN</t>
  </si>
  <si>
    <t>TOTAL</t>
  </si>
  <si>
    <t>PERHITUNGAN</t>
  </si>
  <si>
    <t>PENDAPATAN</t>
  </si>
  <si>
    <t>TARIF TINDAKAN</t>
  </si>
  <si>
    <t>TOTAL PENDAPATAN</t>
  </si>
  <si>
    <t>LABORATORIUM</t>
  </si>
  <si>
    <t>TOTAL BMHP PEMERIKSAAN FOTO THORAX</t>
  </si>
  <si>
    <t>TARIF SIMRS</t>
  </si>
  <si>
    <t>Harga khusus</t>
  </si>
  <si>
    <t>Bus MCU / tidak</t>
  </si>
  <si>
    <t>Tempat pelaksanaan</t>
  </si>
  <si>
    <t>Onsite di perusahaan / di RS</t>
  </si>
  <si>
    <t>K</t>
  </si>
  <si>
    <t>Pemeriksaan Fisik Dokter Umum</t>
  </si>
  <si>
    <t>Darah Lengkap</t>
  </si>
  <si>
    <t>Urin Lengkap</t>
  </si>
  <si>
    <t>Rontgen Thorax PA</t>
  </si>
  <si>
    <t>: PT Pesta Pora Abadi</t>
  </si>
  <si>
    <t>: Februari 2025</t>
  </si>
  <si>
    <t>Pemfis Umum</t>
  </si>
  <si>
    <t>Urine Lengkap</t>
  </si>
  <si>
    <t>Thorax</t>
  </si>
  <si>
    <t>SPUIT 3 CC TERUMO</t>
  </si>
  <si>
    <t>ALKOHOL SWAB</t>
  </si>
  <si>
    <t xml:space="preserve">TABUNG EDTA </t>
  </si>
  <si>
    <t>NEEDLE/JARUM 26</t>
  </si>
  <si>
    <t xml:space="preserve">harga reagen per test </t>
  </si>
  <si>
    <t xml:space="preserve">POT URINE </t>
  </si>
  <si>
    <t>STIK URINE</t>
  </si>
  <si>
    <t>OBJECK GLASS</t>
  </si>
  <si>
    <t>COVER GLASS</t>
  </si>
  <si>
    <t>YELLOW TIP</t>
  </si>
  <si>
    <t>RADIOLOGI</t>
  </si>
  <si>
    <t>FILM RADIOLOGI 21X30 CM</t>
  </si>
  <si>
    <t>Kertas Bacaan</t>
  </si>
  <si>
    <t>SEWA ALAT Mobile X-ray</t>
  </si>
  <si>
    <t>FEE BACAAN DOKTER</t>
  </si>
  <si>
    <t>Pemeriksaan Fisik</t>
  </si>
  <si>
    <t>FEE DU</t>
  </si>
  <si>
    <t>UC BIS MCU</t>
  </si>
  <si>
    <t xml:space="preserve">HANDSCOON NON STERIL UK. L </t>
  </si>
  <si>
    <t>MASKER KARET (EAR LOOP)</t>
  </si>
  <si>
    <t xml:space="preserve">: Central production 2, </t>
  </si>
  <si>
    <t xml:space="preserve"> Jl. Randu Gumbolo DLM KMP D 77,
Desa/Kelurahan Ardimulyo, Kec. Singosari, Kab.
Malang, Jawa Timur</t>
  </si>
  <si>
    <t>: Dalam konfirmasi</t>
  </si>
  <si>
    <t>:   Jl. Randu Gumbolo DLM KMP D 77,
Desa/Kelurahan Ardimulyo, Kec. Singosari, Kab.
Malang, Jawa Timur</t>
  </si>
  <si>
    <t>: 800</t>
  </si>
  <si>
    <t>TINDAKAN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</si>
</sst>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u val="doubleAccounting"/>
      <sz val="11"/>
      <name val="Arial"/>
      <family val="2"/>
    </font>
    <font>
      <u val="singleAccounting"/>
      <sz val="11"/>
      <name val="Arial"/>
      <family val="2"/>
    </font>
    <font>
      <u val="singleAccounting"/>
      <sz val="11"/>
      <color theme="1"/>
      <name val="Arial"/>
      <family val="2"/>
    </font>
    <font>
      <sz val="11"/>
      <color rgb="FF000000"/>
      <name val="Abadi"/>
      <family val="2"/>
    </font>
    <font>
      <sz val="11"/>
      <color theme="1"/>
      <name val="Abadi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27AC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79">
    <xf numFmtId="0" fontId="0" fillId="0" borderId="0" xfId="0"/>
    <xf numFmtId="0" fontId="3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41" fontId="6" fillId="2" borderId="1" xfId="3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right" vertical="center" wrapText="1"/>
    </xf>
    <xf numFmtId="0" fontId="3" fillId="3" borderId="1" xfId="0" quotePrefix="1" applyFont="1" applyFill="1" applyBorder="1" applyAlignment="1">
      <alignment horizontal="center"/>
    </xf>
    <xf numFmtId="0" fontId="3" fillId="3" borderId="1" xfId="0" quotePrefix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5" fillId="3" borderId="1" xfId="0" applyFont="1" applyFill="1" applyBorder="1"/>
    <xf numFmtId="41" fontId="7" fillId="3" borderId="1" xfId="3" applyFont="1" applyFill="1" applyBorder="1"/>
    <xf numFmtId="41" fontId="8" fillId="3" borderId="1" xfId="3" applyFont="1" applyFill="1" applyBorder="1" applyAlignment="1">
      <alignment horizontal="center" vertical="center" wrapText="1"/>
    </xf>
    <xf numFmtId="0" fontId="3" fillId="3" borderId="2" xfId="0" quotePrefix="1" applyFont="1" applyFill="1" applyBorder="1" applyAlignment="1">
      <alignment horizontal="left"/>
    </xf>
    <xf numFmtId="0" fontId="3" fillId="3" borderId="3" xfId="0" quotePrefix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5" fillId="3" borderId="3" xfId="0" applyFont="1" applyFill="1" applyBorder="1"/>
    <xf numFmtId="41" fontId="7" fillId="3" borderId="3" xfId="3" applyFont="1" applyFill="1" applyBorder="1"/>
    <xf numFmtId="41" fontId="9" fillId="3" borderId="3" xfId="3" applyFont="1" applyFill="1" applyBorder="1"/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7" fillId="0" borderId="1" xfId="0" applyFont="1" applyBorder="1"/>
    <xf numFmtId="41" fontId="7" fillId="5" borderId="1" xfId="3" applyFont="1" applyFill="1" applyBorder="1"/>
    <xf numFmtId="41" fontId="7" fillId="0" borderId="1" xfId="2" applyFont="1" applyBorder="1"/>
    <xf numFmtId="41" fontId="7" fillId="0" borderId="1" xfId="3" applyFont="1" applyBorder="1"/>
    <xf numFmtId="0" fontId="5" fillId="0" borderId="1" xfId="0" applyFont="1" applyBorder="1"/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1" fontId="7" fillId="5" borderId="1" xfId="2" applyFont="1" applyFill="1" applyBorder="1"/>
    <xf numFmtId="41" fontId="10" fillId="5" borderId="1" xfId="2" applyFont="1" applyFill="1" applyBorder="1"/>
    <xf numFmtId="0" fontId="5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1" fontId="5" fillId="0" borderId="1" xfId="2" applyFont="1" applyBorder="1"/>
    <xf numFmtId="41" fontId="11" fillId="0" borderId="1" xfId="2" applyFont="1" applyBorder="1"/>
    <xf numFmtId="41" fontId="5" fillId="0" borderId="1" xfId="3" applyFont="1" applyBorder="1"/>
    <xf numFmtId="0" fontId="3" fillId="4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41" fontId="8" fillId="3" borderId="1" xfId="3" applyFont="1" applyFill="1" applyBorder="1"/>
    <xf numFmtId="41" fontId="3" fillId="3" borderId="1" xfId="0" applyNumberFormat="1" applyFont="1" applyFill="1" applyBorder="1"/>
    <xf numFmtId="0" fontId="8" fillId="4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left"/>
    </xf>
    <xf numFmtId="0" fontId="5" fillId="4" borderId="1" xfId="0" applyFont="1" applyFill="1" applyBorder="1"/>
    <xf numFmtId="41" fontId="5" fillId="4" borderId="1" xfId="3" applyFont="1" applyFill="1" applyBorder="1"/>
    <xf numFmtId="41" fontId="10" fillId="4" borderId="1" xfId="3" applyFont="1" applyFill="1" applyBorder="1"/>
    <xf numFmtId="41" fontId="7" fillId="4" borderId="1" xfId="3" applyFont="1" applyFill="1" applyBorder="1"/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1" fontId="0" fillId="0" borderId="0" xfId="2" applyFont="1"/>
    <xf numFmtId="41" fontId="2" fillId="0" borderId="1" xfId="2" applyFont="1" applyBorder="1"/>
    <xf numFmtId="0" fontId="2" fillId="6" borderId="1" xfId="0" applyFont="1" applyFill="1" applyBorder="1" applyAlignment="1">
      <alignment horizontal="center"/>
    </xf>
    <xf numFmtId="41" fontId="2" fillId="6" borderId="1" xfId="2" applyFont="1" applyFill="1" applyBorder="1" applyAlignment="1">
      <alignment horizontal="center"/>
    </xf>
    <xf numFmtId="9" fontId="0" fillId="0" borderId="1" xfId="2" applyNumberFormat="1" applyFont="1" applyBorder="1"/>
    <xf numFmtId="41" fontId="0" fillId="0" borderId="0" xfId="0" applyNumberFormat="1"/>
    <xf numFmtId="0" fontId="0" fillId="0" borderId="2" xfId="0" applyBorder="1" applyAlignment="1">
      <alignment horizontal="center"/>
    </xf>
    <xf numFmtId="41" fontId="0" fillId="0" borderId="4" xfId="2" applyFont="1" applyBorder="1"/>
    <xf numFmtId="0" fontId="2" fillId="6" borderId="5" xfId="0" applyFont="1" applyFill="1" applyBorder="1" applyAlignment="1">
      <alignment horizontal="center"/>
    </xf>
    <xf numFmtId="0" fontId="0" fillId="0" borderId="6" xfId="0" applyBorder="1"/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5" fillId="0" borderId="0" xfId="0" applyFont="1" applyAlignment="1">
      <alignment horizontal="justify" vertical="center"/>
    </xf>
    <xf numFmtId="0" fontId="3" fillId="0" borderId="1" xfId="0" quotePrefix="1" applyFont="1" applyBorder="1" applyAlignment="1">
      <alignment horizontal="left"/>
    </xf>
    <xf numFmtId="0" fontId="8" fillId="0" borderId="1" xfId="4" applyFont="1" applyBorder="1" applyAlignment="1">
      <alignment horizontal="left"/>
    </xf>
    <xf numFmtId="0" fontId="5" fillId="0" borderId="1" xfId="4" applyFont="1" applyBorder="1"/>
    <xf numFmtId="0" fontId="7" fillId="7" borderId="5" xfId="0" applyFont="1" applyFill="1" applyBorder="1"/>
    <xf numFmtId="0" fontId="5" fillId="0" borderId="0" xfId="0" applyFont="1" applyAlignment="1">
      <alignment wrapText="1"/>
    </xf>
    <xf numFmtId="0" fontId="5" fillId="8" borderId="0" xfId="0" applyFont="1" applyFill="1"/>
    <xf numFmtId="0" fontId="8" fillId="0" borderId="2" xfId="0" applyFont="1" applyBorder="1" applyAlignment="1">
      <alignment horizontal="left" vertical="center"/>
    </xf>
  </cellXfs>
  <cellStyles count="5">
    <cellStyle name="Comma" xfId="1" builtinId="3"/>
    <cellStyle name="Comma [0]" xfId="2" builtinId="6"/>
    <cellStyle name="Comma [0] 2" xfId="3" xr:uid="{94877DC8-9D92-4E97-9ED3-18F5CE974A25}"/>
    <cellStyle name="Normal" xfId="0" builtinId="0"/>
    <cellStyle name="Normal 2" xfId="4" xr:uid="{16ABAE49-A06B-4F48-A0B7-6B090E627D7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204788</xdr:colOff>
      <xdr:row>106</xdr:row>
      <xdr:rowOff>0</xdr:rowOff>
    </xdr:from>
    <xdr:to>
      <xdr:col>1</xdr:col>
      <xdr:colOff>781053</xdr:colOff>
      <xdr:row>106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53073E3-DE2F-4511-915F-B7487FD0ABC5}"/>
            </a:ext>
          </a:extLst>
        </xdr:cNvPr>
        <xdr:cNvSpPr txBox="1"/>
      </xdr:nvSpPr>
      <xdr:spPr>
        <a:xfrm rot="16200000">
          <a:off x="759621" y="29687042"/>
          <a:ext cx="0" cy="57626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800"/>
            <a:t>LABORATORIUM</a:t>
          </a:r>
        </a:p>
      </xdr:txBody>
    </xdr:sp>
    <xdr:clientData/>
  </xdr:twoCellAnchor>
  <xdr:twoCellAnchor>
    <xdr:from>
      <xdr:col>2</xdr:col>
      <xdr:colOff>0</xdr:colOff>
      <xdr:row>132</xdr:row>
      <xdr:rowOff>66676</xdr:rowOff>
    </xdr:from>
    <xdr:to>
      <xdr:col>2</xdr:col>
      <xdr:colOff>0</xdr:colOff>
      <xdr:row>135</xdr:row>
      <xdr:rowOff>66676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C359540-7BF9-452E-89CF-A5B3C3AA3CB3}"/>
            </a:ext>
          </a:extLst>
        </xdr:cNvPr>
        <xdr:cNvGrpSpPr/>
      </xdr:nvGrpSpPr>
      <xdr:grpSpPr>
        <a:xfrm>
          <a:off x="1826559" y="26960794"/>
          <a:ext cx="0" cy="571500"/>
          <a:chOff x="0" y="0"/>
          <a:chExt cx="2047239" cy="821055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F2F8D9BA-4E27-FB79-7178-76AC3948977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DFDFF"/>
              </a:clrFrom>
              <a:clrTo>
                <a:srgbClr val="FDFD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731" t="26677" r="49087" b="22051"/>
          <a:stretch/>
        </xdr:blipFill>
        <xdr:spPr bwMode="auto">
          <a:xfrm rot="16200000">
            <a:off x="941704" y="-448309"/>
            <a:ext cx="450850" cy="176022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634E4035-F0DA-959E-CC05-1DA2015E6FE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clrChange>
              <a:clrFrom>
                <a:srgbClr val="000000">
                  <a:alpha val="0"/>
                </a:srgbClr>
              </a:clrFrom>
              <a:clrTo>
                <a:srgbClr val="000000">
                  <a:alpha val="0"/>
                </a:srgbClr>
              </a:clrTo>
            </a:clrChange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26869" b="68410" l="27373" r="68019"/>
                    </a14:imgEffect>
                    <a14:imgEffect>
                      <a14:artisticGlowEdges/>
                    </a14:imgEffect>
                    <a14:imgEffect>
                      <a14:colorTemperature colorTemp="7391"/>
                    </a14:imgEffect>
                    <a14:imgEffect>
                      <a14:saturation sat="99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31762" t="34701" r="35935" b="45456"/>
          <a:stretch/>
        </xdr:blipFill>
        <xdr:spPr bwMode="auto">
          <a:xfrm rot="16200000">
            <a:off x="37782" y="-37782"/>
            <a:ext cx="821055" cy="896620"/>
          </a:xfrm>
          <a:prstGeom prst="rect">
            <a:avLst/>
          </a:prstGeom>
          <a:noFill/>
          <a:ln w="9525" cap="flat" cmpd="sng" algn="ctr">
            <a:solidFill>
              <a:sysClr val="window" lastClr="FFFFFF"/>
            </a:solidFill>
            <a:prstDash val="solid"/>
            <a:round/>
            <a:headEnd type="none" w="med" len="med"/>
            <a:tailEnd type="none" w="med" len="med"/>
            <a:extLst>
              <a:ext uri="{C807C97D-BFC1-408E-A445-0C87EB9F89A2}">
                <ask:lineSketchStyleProps xmlns:ask="http://schemas.microsoft.com/office/drawing/2018/sketchyshapes" sd="0">
                  <a:custGeom>
                    <a:avLst/>
                    <a:gdLst/>
                    <a:ahLst/>
                    <a:cxnLst/>
                    <a:rect l="0" t="0" r="0" b="0"/>
                    <a:pathLst/>
                  </a:custGeom>
                  <ask:type/>
                </ask:lineSketchStyleProps>
              </a:ext>
            </a:extLst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  <xdr:twoCellAnchor>
    <xdr:from>
      <xdr:col>1</xdr:col>
      <xdr:colOff>204788</xdr:colOff>
      <xdr:row>105</xdr:row>
      <xdr:rowOff>0</xdr:rowOff>
    </xdr:from>
    <xdr:to>
      <xdr:col>1</xdr:col>
      <xdr:colOff>781053</xdr:colOff>
      <xdr:row>105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FCB92AB-4755-4533-9E17-5366DD750389}"/>
            </a:ext>
          </a:extLst>
        </xdr:cNvPr>
        <xdr:cNvSpPr txBox="1"/>
      </xdr:nvSpPr>
      <xdr:spPr>
        <a:xfrm rot="16200000">
          <a:off x="759621" y="29506067"/>
          <a:ext cx="0" cy="576265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2800"/>
            <a:t>LABORATORIUM</a:t>
          </a:r>
        </a:p>
      </xdr:txBody>
    </xdr:sp>
    <xdr:clientData/>
  </xdr:twoCellAnchor>
  <xdr:twoCellAnchor>
    <xdr:from>
      <xdr:col>2</xdr:col>
      <xdr:colOff>0</xdr:colOff>
      <xdr:row>131</xdr:row>
      <xdr:rowOff>66676</xdr:rowOff>
    </xdr:from>
    <xdr:to>
      <xdr:col>2</xdr:col>
      <xdr:colOff>0</xdr:colOff>
      <xdr:row>134</xdr:row>
      <xdr:rowOff>66676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A5F314EE-24AA-4730-9979-E53FB8A6D837}"/>
            </a:ext>
          </a:extLst>
        </xdr:cNvPr>
        <xdr:cNvGrpSpPr/>
      </xdr:nvGrpSpPr>
      <xdr:grpSpPr>
        <a:xfrm>
          <a:off x="1826559" y="26770294"/>
          <a:ext cx="0" cy="571500"/>
          <a:chOff x="0" y="0"/>
          <a:chExt cx="2047239" cy="821055"/>
        </a:xfrm>
      </xdr:grpSpPr>
      <xdr:pic>
        <xdr:nvPicPr>
          <xdr:cNvPr id="8" name="Picture 7">
            <a:extLst>
              <a:ext uri="{FF2B5EF4-FFF2-40B4-BE49-F238E27FC236}">
                <a16:creationId xmlns:a16="http://schemas.microsoft.com/office/drawing/2014/main" id="{E47EC629-F168-0A12-AD96-C158DDAF01B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DFDFF"/>
              </a:clrFrom>
              <a:clrTo>
                <a:srgbClr val="FDFD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4731" t="26677" r="49087" b="22051"/>
          <a:stretch/>
        </xdr:blipFill>
        <xdr:spPr bwMode="auto">
          <a:xfrm rot="16200000">
            <a:off x="941704" y="-448309"/>
            <a:ext cx="450850" cy="1760220"/>
          </a:xfrm>
          <a:prstGeom prst="rect">
            <a:avLst/>
          </a:prstGeom>
          <a:noFill/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pic>
        <xdr:nvPicPr>
          <xdr:cNvPr id="9" name="Picture 8">
            <a:extLst>
              <a:ext uri="{FF2B5EF4-FFF2-40B4-BE49-F238E27FC236}">
                <a16:creationId xmlns:a16="http://schemas.microsoft.com/office/drawing/2014/main" id="{0EC3FC89-0B6C-504E-0809-7E0F35C7289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clrChange>
              <a:clrFrom>
                <a:srgbClr val="000000">
                  <a:alpha val="0"/>
                </a:srgbClr>
              </a:clrFrom>
              <a:clrTo>
                <a:srgbClr val="000000">
                  <a:alpha val="0"/>
                </a:srgbClr>
              </a:clrTo>
            </a:clrChange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26869" b="68410" l="27373" r="68019"/>
                    </a14:imgEffect>
                    <a14:imgEffect>
                      <a14:artisticGlowEdges/>
                    </a14:imgEffect>
                    <a14:imgEffect>
                      <a14:colorTemperature colorTemp="7391"/>
                    </a14:imgEffect>
                    <a14:imgEffect>
                      <a14:saturation sat="99000"/>
                    </a14:imgEffect>
                  </a14:imgLayer>
                </a14:imgProps>
              </a:ext>
              <a:ext uri="{28A0092B-C50C-407E-A947-70E740481C1C}">
                <a14:useLocalDpi xmlns:a14="http://schemas.microsoft.com/office/drawing/2010/main" val="0"/>
              </a:ext>
            </a:extLst>
          </a:blip>
          <a:srcRect l="31762" t="34701" r="35935" b="45456"/>
          <a:stretch/>
        </xdr:blipFill>
        <xdr:spPr bwMode="auto">
          <a:xfrm rot="16200000">
            <a:off x="37782" y="-37782"/>
            <a:ext cx="821055" cy="896620"/>
          </a:xfrm>
          <a:prstGeom prst="rect">
            <a:avLst/>
          </a:prstGeom>
          <a:noFill/>
          <a:ln w="9525" cap="flat" cmpd="sng" algn="ctr">
            <a:solidFill>
              <a:sysClr val="window" lastClr="FFFFFF"/>
            </a:solidFill>
            <a:prstDash val="solid"/>
            <a:round/>
            <a:headEnd type="none" w="med" len="med"/>
            <a:tailEnd type="none" w="med" len="med"/>
            <a:extLst>
              <a:ext uri="{C807C97D-BFC1-408E-A445-0C87EB9F89A2}">
                <ask:lineSketchStyleProps xmlns:ask="http://schemas.microsoft.com/office/drawing/2018/sketchyshapes" sd="0">
                  <a:custGeom>
                    <a:avLst/>
                    <a:gdLst/>
                    <a:ahLst/>
                    <a:cxnLst/>
                    <a:rect l="0" t="0" r="0" b="0"/>
                    <a:pathLst/>
                  </a:custGeom>
                  <ask:type/>
                </ask:lineSketchStyleProps>
              </a:ext>
            </a:extLst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863D-2CE7-49DD-8222-C452074D2AD9}">
  <dimension ref="A3:F8"/>
  <sheetViews>
    <sheetView workbookViewId="0">
      <selection activeCell="C4" sqref="C4"/>
    </sheetView>
  </sheetViews>
  <sheetFormatPr defaultRowHeight="15" x14ac:dyDescent="0.25"/>
  <cols>
    <col min="1" max="1" width="3.85546875" style="57" bestFit="1" customWidth="1"/>
    <col min="2" max="2" width="31.5703125" customWidth="1"/>
    <col min="3" max="4" width="14.85546875" style="59" customWidth="1"/>
  </cols>
  <sheetData>
    <row r="3" spans="1:6" s="56" customFormat="1" x14ac:dyDescent="0.25">
      <c r="A3" s="61" t="s">
        <v>0</v>
      </c>
      <c r="B3" s="67" t="s">
        <v>1</v>
      </c>
      <c r="C3" s="62" t="s">
        <v>38</v>
      </c>
      <c r="D3" s="62" t="s">
        <v>39</v>
      </c>
    </row>
    <row r="4" spans="1:6" ht="14.25" customHeight="1" x14ac:dyDescent="0.25">
      <c r="A4" s="65">
        <v>1</v>
      </c>
      <c r="B4" s="69" t="s">
        <v>44</v>
      </c>
      <c r="C4" s="66">
        <v>70000</v>
      </c>
      <c r="D4" s="63"/>
      <c r="E4" s="64"/>
      <c r="F4" s="64"/>
    </row>
    <row r="5" spans="1:6" x14ac:dyDescent="0.25">
      <c r="A5" s="65">
        <v>2</v>
      </c>
      <c r="B5" s="69" t="s">
        <v>45</v>
      </c>
      <c r="C5" s="66">
        <v>60000</v>
      </c>
      <c r="D5" s="63"/>
      <c r="E5" s="64"/>
      <c r="F5" s="64"/>
    </row>
    <row r="6" spans="1:6" x14ac:dyDescent="0.25">
      <c r="A6" s="65">
        <v>3</v>
      </c>
      <c r="B6" s="70" t="s">
        <v>46</v>
      </c>
      <c r="C6" s="59">
        <v>23000</v>
      </c>
      <c r="D6" s="63"/>
      <c r="E6" s="64"/>
      <c r="F6" s="64"/>
    </row>
    <row r="7" spans="1:6" x14ac:dyDescent="0.25">
      <c r="A7" s="65">
        <v>4</v>
      </c>
      <c r="B7" s="69" t="s">
        <v>47</v>
      </c>
      <c r="C7" s="66">
        <v>104000</v>
      </c>
      <c r="D7" s="63"/>
      <c r="E7" s="64"/>
      <c r="F7" s="64"/>
    </row>
    <row r="8" spans="1:6" x14ac:dyDescent="0.25">
      <c r="A8" s="58"/>
      <c r="B8" s="68"/>
      <c r="C8" s="60">
        <f>SUM(C4:C7)</f>
        <v>257000</v>
      </c>
      <c r="D8" s="60">
        <f>SUM(D4:D7)</f>
        <v>0</v>
      </c>
      <c r="F8" s="6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9CEDD-5D1A-4DFF-A31B-BB343D34DFA6}">
  <dimension ref="A1:H55"/>
  <sheetViews>
    <sheetView tabSelected="1" zoomScale="85" zoomScaleNormal="85" workbookViewId="0">
      <selection activeCell="C8" sqref="C8"/>
    </sheetView>
  </sheetViews>
  <sheetFormatPr defaultRowHeight="15" x14ac:dyDescent="0.25"/>
  <cols>
    <col min="1" max="1" width="4" style="2" bestFit="1" customWidth="1"/>
    <col min="2" max="2" width="23.28515625" style="2" customWidth="1"/>
    <col min="3" max="3" width="29.7109375" style="2" customWidth="1"/>
    <col min="4" max="4" width="35.5703125" style="2" customWidth="1"/>
    <col min="5" max="5" width="11.140625" style="2" customWidth="1"/>
    <col min="6" max="6" width="11.5703125" style="2" bestFit="1" customWidth="1"/>
    <col min="7" max="7" width="14" style="2" bestFit="1" customWidth="1"/>
    <col min="8" max="8" width="17.140625" style="2" customWidth="1"/>
  </cols>
  <sheetData>
    <row r="1" spans="1:8" x14ac:dyDescent="0.25">
      <c r="A1" s="1" t="s">
        <v>2</v>
      </c>
    </row>
    <row r="2" spans="1:8" x14ac:dyDescent="0.25">
      <c r="A2" s="2" t="s">
        <v>3</v>
      </c>
      <c r="B2" s="2" t="s">
        <v>4</v>
      </c>
      <c r="C2" s="71" t="s">
        <v>48</v>
      </c>
    </row>
    <row r="3" spans="1:8" x14ac:dyDescent="0.25">
      <c r="A3" s="2" t="s">
        <v>5</v>
      </c>
      <c r="B3" s="2" t="s">
        <v>6</v>
      </c>
      <c r="C3" s="2" t="s">
        <v>49</v>
      </c>
    </row>
    <row r="4" spans="1:8" x14ac:dyDescent="0.25">
      <c r="A4" s="2" t="s">
        <v>7</v>
      </c>
      <c r="B4" s="2" t="s">
        <v>8</v>
      </c>
      <c r="C4" s="2" t="s">
        <v>73</v>
      </c>
    </row>
    <row r="5" spans="1:8" ht="72" x14ac:dyDescent="0.25">
      <c r="C5" s="76" t="s">
        <v>74</v>
      </c>
    </row>
    <row r="6" spans="1:8" x14ac:dyDescent="0.25">
      <c r="A6" s="2" t="s">
        <v>9</v>
      </c>
      <c r="B6" s="2" t="s">
        <v>10</v>
      </c>
      <c r="C6" s="2" t="s">
        <v>75</v>
      </c>
    </row>
    <row r="7" spans="1:8" x14ac:dyDescent="0.25">
      <c r="A7" s="2" t="s">
        <v>11</v>
      </c>
      <c r="B7" s="2" t="s">
        <v>12</v>
      </c>
      <c r="C7" s="2" t="s">
        <v>75</v>
      </c>
    </row>
    <row r="8" spans="1:8" x14ac:dyDescent="0.25">
      <c r="A8" s="2" t="s">
        <v>13</v>
      </c>
      <c r="B8" s="2" t="s">
        <v>14</v>
      </c>
      <c r="C8" s="2" t="s">
        <v>75</v>
      </c>
      <c r="D8" s="2" t="s">
        <v>40</v>
      </c>
    </row>
    <row r="9" spans="1:8" x14ac:dyDescent="0.25">
      <c r="A9" s="2" t="s">
        <v>15</v>
      </c>
      <c r="B9" s="2" t="s">
        <v>16</v>
      </c>
      <c r="C9" s="2" t="s">
        <v>75</v>
      </c>
    </row>
    <row r="10" spans="1:8" ht="72" x14ac:dyDescent="0.25">
      <c r="A10" s="2" t="s">
        <v>17</v>
      </c>
      <c r="B10" s="2" t="s">
        <v>41</v>
      </c>
      <c r="C10" s="76" t="s">
        <v>76</v>
      </c>
      <c r="D10" s="2" t="s">
        <v>42</v>
      </c>
    </row>
    <row r="11" spans="1:8" x14ac:dyDescent="0.25">
      <c r="A11" s="2" t="s">
        <v>19</v>
      </c>
      <c r="B11" s="2" t="s">
        <v>18</v>
      </c>
      <c r="C11" s="2" t="s">
        <v>77</v>
      </c>
    </row>
    <row r="12" spans="1:8" x14ac:dyDescent="0.25">
      <c r="A12" s="2" t="s">
        <v>22</v>
      </c>
      <c r="B12" s="2" t="s">
        <v>20</v>
      </c>
      <c r="C12" s="2" t="s">
        <v>21</v>
      </c>
    </row>
    <row r="13" spans="1:8" x14ac:dyDescent="0.25">
      <c r="A13" s="2" t="s">
        <v>43</v>
      </c>
      <c r="B13" s="2" t="s">
        <v>23</v>
      </c>
      <c r="C13" s="2" t="s">
        <v>24</v>
      </c>
    </row>
    <row r="14" spans="1:8" x14ac:dyDescent="0.25">
      <c r="A14" s="1" t="s">
        <v>25</v>
      </c>
    </row>
    <row r="15" spans="1:8" ht="30" x14ac:dyDescent="0.25">
      <c r="A15" s="3" t="s">
        <v>0</v>
      </c>
      <c r="B15" s="4" t="s">
        <v>26</v>
      </c>
      <c r="C15" s="3" t="s">
        <v>27</v>
      </c>
      <c r="D15" s="3" t="s">
        <v>28</v>
      </c>
      <c r="E15" s="4" t="s">
        <v>29</v>
      </c>
      <c r="F15" s="4" t="s">
        <v>30</v>
      </c>
      <c r="G15" s="4" t="s">
        <v>31</v>
      </c>
      <c r="H15" s="4" t="s">
        <v>32</v>
      </c>
    </row>
    <row r="16" spans="1:8" x14ac:dyDescent="0.25">
      <c r="A16" s="5" t="s">
        <v>33</v>
      </c>
      <c r="B16" s="6"/>
      <c r="C16" s="6"/>
      <c r="D16" s="6"/>
      <c r="E16" s="7"/>
      <c r="F16" s="8"/>
      <c r="G16" s="8"/>
      <c r="H16" s="8"/>
    </row>
    <row r="17" spans="1:8" x14ac:dyDescent="0.25">
      <c r="A17" s="9" t="s">
        <v>34</v>
      </c>
      <c r="B17" s="10"/>
      <c r="C17" s="11"/>
      <c r="D17" s="11"/>
      <c r="E17" s="7"/>
      <c r="F17" s="8"/>
      <c r="G17" s="8"/>
      <c r="H17" s="8"/>
    </row>
    <row r="18" spans="1:8" x14ac:dyDescent="0.25">
      <c r="A18" s="12">
        <v>1</v>
      </c>
      <c r="B18" s="13" t="s">
        <v>50</v>
      </c>
      <c r="C18" s="14"/>
      <c r="D18" s="15"/>
      <c r="E18" s="16">
        <v>800</v>
      </c>
      <c r="F18" s="16"/>
      <c r="G18" s="16"/>
      <c r="H18" s="17"/>
    </row>
    <row r="19" spans="1:8" x14ac:dyDescent="0.25">
      <c r="A19" s="12">
        <v>2</v>
      </c>
      <c r="B19" s="13" t="s">
        <v>45</v>
      </c>
      <c r="C19" s="14"/>
      <c r="D19" s="15"/>
      <c r="E19" s="16">
        <v>800</v>
      </c>
      <c r="F19" s="16"/>
      <c r="G19" s="16"/>
      <c r="H19" s="17"/>
    </row>
    <row r="20" spans="1:8" x14ac:dyDescent="0.25">
      <c r="A20" s="12">
        <v>3</v>
      </c>
      <c r="B20" s="13" t="s">
        <v>51</v>
      </c>
      <c r="C20" s="14"/>
      <c r="D20" s="15"/>
      <c r="E20" s="16">
        <v>800</v>
      </c>
      <c r="F20" s="16"/>
      <c r="G20" s="16"/>
      <c r="H20" s="17"/>
    </row>
    <row r="21" spans="1:8" x14ac:dyDescent="0.25">
      <c r="A21" s="12">
        <v>4</v>
      </c>
      <c r="B21" s="13" t="s">
        <v>52</v>
      </c>
      <c r="C21" s="14"/>
      <c r="D21" s="15"/>
      <c r="E21" s="16">
        <v>800</v>
      </c>
      <c r="F21" s="16"/>
      <c r="G21" s="16"/>
      <c r="H21" s="17"/>
    </row>
    <row r="22" spans="1:8" x14ac:dyDescent="0.25">
      <c r="A22" s="12">
        <v>5</v>
      </c>
      <c r="B22" s="13"/>
      <c r="C22" s="14"/>
      <c r="D22" s="15"/>
      <c r="E22" s="16"/>
      <c r="F22" s="16"/>
      <c r="G22" s="16"/>
      <c r="H22" s="17"/>
    </row>
    <row r="23" spans="1:8" x14ac:dyDescent="0.25">
      <c r="A23" s="12">
        <v>6</v>
      </c>
      <c r="B23" s="13"/>
      <c r="C23" s="14"/>
      <c r="D23" s="15"/>
      <c r="E23" s="16"/>
      <c r="F23" s="16"/>
      <c r="G23" s="16"/>
      <c r="H23" s="17"/>
    </row>
    <row r="24" spans="1:8" x14ac:dyDescent="0.25">
      <c r="A24" s="12">
        <v>7</v>
      </c>
      <c r="B24" s="13"/>
      <c r="C24" s="14"/>
      <c r="D24" s="15"/>
      <c r="E24" s="16"/>
      <c r="F24" s="16"/>
      <c r="G24" s="16"/>
      <c r="H24" s="17"/>
    </row>
    <row r="25" spans="1:8" x14ac:dyDescent="0.25">
      <c r="A25" s="12">
        <v>8</v>
      </c>
      <c r="B25" s="13"/>
      <c r="C25" s="14"/>
      <c r="D25" s="15"/>
      <c r="E25" s="16"/>
      <c r="F25" s="16"/>
      <c r="G25" s="16"/>
      <c r="H25" s="17"/>
    </row>
    <row r="26" spans="1:8" x14ac:dyDescent="0.25">
      <c r="A26" s="12">
        <v>9</v>
      </c>
      <c r="B26" s="13"/>
      <c r="C26" s="14"/>
      <c r="D26" s="15"/>
      <c r="E26" s="16"/>
      <c r="F26" s="16"/>
      <c r="G26" s="16"/>
      <c r="H26" s="17"/>
    </row>
    <row r="27" spans="1:8" x14ac:dyDescent="0.25">
      <c r="A27" s="12">
        <v>11</v>
      </c>
      <c r="B27" s="13"/>
      <c r="C27" s="14"/>
      <c r="D27" s="15"/>
      <c r="E27" s="16"/>
      <c r="F27" s="16"/>
      <c r="G27" s="16"/>
      <c r="H27" s="17"/>
    </row>
    <row r="28" spans="1:8" x14ac:dyDescent="0.25">
      <c r="A28" s="12">
        <v>12</v>
      </c>
      <c r="B28" s="13"/>
      <c r="C28" s="14"/>
      <c r="D28" s="15"/>
      <c r="E28" s="16"/>
      <c r="F28" s="16"/>
      <c r="G28" s="16"/>
      <c r="H28" s="17"/>
    </row>
    <row r="29" spans="1:8" x14ac:dyDescent="0.25">
      <c r="A29" s="12">
        <v>13</v>
      </c>
      <c r="B29" s="13"/>
      <c r="C29" s="14"/>
      <c r="D29" s="15"/>
      <c r="E29" s="16"/>
      <c r="F29" s="16"/>
      <c r="G29" s="16"/>
      <c r="H29" s="17"/>
    </row>
    <row r="30" spans="1:8" x14ac:dyDescent="0.25">
      <c r="A30" s="12">
        <v>14</v>
      </c>
      <c r="B30" s="13"/>
      <c r="C30" s="14"/>
      <c r="D30" s="15"/>
      <c r="E30" s="16"/>
      <c r="F30" s="16"/>
      <c r="G30" s="16"/>
      <c r="H30" s="17"/>
    </row>
    <row r="31" spans="1:8" ht="17.25" x14ac:dyDescent="0.4">
      <c r="A31" s="18" t="s">
        <v>35</v>
      </c>
      <c r="B31" s="19"/>
      <c r="C31" s="20"/>
      <c r="D31" s="21"/>
      <c r="E31" s="22"/>
      <c r="F31" s="23">
        <f>SUM(F18:F30)</f>
        <v>0</v>
      </c>
      <c r="G31" s="16"/>
      <c r="H31" s="17">
        <f>SUM(G18:G30)</f>
        <v>0</v>
      </c>
    </row>
    <row r="32" spans="1:8" x14ac:dyDescent="0.25">
      <c r="A32" s="77"/>
      <c r="B32" s="24"/>
      <c r="C32" s="24"/>
      <c r="D32" s="24"/>
      <c r="E32" s="24"/>
      <c r="F32" s="24"/>
      <c r="G32" s="24"/>
      <c r="H32" s="25"/>
    </row>
    <row r="33" spans="1:8" x14ac:dyDescent="0.25">
      <c r="A33" s="26">
        <v>1</v>
      </c>
      <c r="B33" s="78" t="s">
        <v>36</v>
      </c>
      <c r="C33" s="27" t="s">
        <v>45</v>
      </c>
      <c r="D33" s="28" t="s">
        <v>53</v>
      </c>
      <c r="E33" s="16">
        <v>800</v>
      </c>
      <c r="F33" s="30"/>
      <c r="G33" s="31">
        <f>+E33*F33</f>
        <v>0</v>
      </c>
      <c r="H33" s="32"/>
    </row>
    <row r="34" spans="1:8" x14ac:dyDescent="0.25">
      <c r="A34" s="26"/>
      <c r="B34" s="27"/>
      <c r="C34" s="33"/>
      <c r="D34" s="34" t="s">
        <v>54</v>
      </c>
      <c r="E34" s="16">
        <v>800</v>
      </c>
      <c r="F34" s="30"/>
      <c r="G34" s="31">
        <f t="shared" ref="G34:G37" si="0">+E34*F34</f>
        <v>0</v>
      </c>
      <c r="H34" s="32"/>
    </row>
    <row r="35" spans="1:8" x14ac:dyDescent="0.25">
      <c r="A35" s="26"/>
      <c r="B35" s="27"/>
      <c r="C35" s="35"/>
      <c r="D35" s="32" t="s">
        <v>55</v>
      </c>
      <c r="E35" s="16">
        <v>800</v>
      </c>
      <c r="F35" s="30"/>
      <c r="G35" s="31">
        <f t="shared" si="0"/>
        <v>0</v>
      </c>
      <c r="H35" s="32"/>
    </row>
    <row r="36" spans="1:8" x14ac:dyDescent="0.25">
      <c r="A36" s="26"/>
      <c r="B36" s="27"/>
      <c r="C36" s="35"/>
      <c r="D36" s="32" t="s">
        <v>56</v>
      </c>
      <c r="E36" s="16">
        <v>800</v>
      </c>
      <c r="F36" s="36"/>
      <c r="G36" s="31">
        <f t="shared" si="0"/>
        <v>0</v>
      </c>
      <c r="H36" s="32"/>
    </row>
    <row r="37" spans="1:8" ht="16.5" x14ac:dyDescent="0.35">
      <c r="A37" s="26"/>
      <c r="B37" s="27"/>
      <c r="C37" s="35"/>
      <c r="D37" s="32" t="s">
        <v>57</v>
      </c>
      <c r="E37" s="16">
        <v>800</v>
      </c>
      <c r="F37" s="37"/>
      <c r="G37" s="31">
        <f t="shared" si="0"/>
        <v>0</v>
      </c>
      <c r="H37" s="32"/>
    </row>
    <row r="38" spans="1:8" x14ac:dyDescent="0.25">
      <c r="A38" s="26"/>
      <c r="B38" s="27"/>
      <c r="C38" s="35"/>
      <c r="D38" s="32"/>
      <c r="E38" s="29"/>
      <c r="F38" s="36"/>
      <c r="G38" s="31"/>
      <c r="H38" s="32"/>
    </row>
    <row r="39" spans="1:8" x14ac:dyDescent="0.25">
      <c r="A39" s="26">
        <v>2</v>
      </c>
      <c r="B39" s="78" t="s">
        <v>36</v>
      </c>
      <c r="C39" s="72" t="s">
        <v>46</v>
      </c>
      <c r="D39" s="38" t="s">
        <v>58</v>
      </c>
      <c r="E39" s="16">
        <v>800</v>
      </c>
      <c r="F39" s="36"/>
      <c r="G39" s="31">
        <f t="shared" ref="G39:G43" si="1">+E39*F39</f>
        <v>0</v>
      </c>
      <c r="H39" s="32"/>
    </row>
    <row r="40" spans="1:8" x14ac:dyDescent="0.25">
      <c r="A40" s="26"/>
      <c r="B40" s="27"/>
      <c r="C40" s="72"/>
      <c r="D40" s="38" t="s">
        <v>59</v>
      </c>
      <c r="E40" s="16">
        <v>800</v>
      </c>
      <c r="F40" s="30"/>
      <c r="G40" s="31">
        <f t="shared" si="1"/>
        <v>0</v>
      </c>
      <c r="H40" s="32"/>
    </row>
    <row r="41" spans="1:8" x14ac:dyDescent="0.25">
      <c r="A41" s="26"/>
      <c r="B41" s="27"/>
      <c r="C41" s="72"/>
      <c r="D41" s="38" t="s">
        <v>60</v>
      </c>
      <c r="E41" s="16">
        <v>800</v>
      </c>
      <c r="F41" s="30"/>
      <c r="G41" s="31">
        <f t="shared" si="1"/>
        <v>0</v>
      </c>
      <c r="H41" s="32"/>
    </row>
    <row r="42" spans="1:8" x14ac:dyDescent="0.25">
      <c r="A42" s="40"/>
      <c r="B42" s="27"/>
      <c r="C42" s="72"/>
      <c r="D42" s="28" t="s">
        <v>61</v>
      </c>
      <c r="E42" s="16">
        <v>800</v>
      </c>
      <c r="F42" s="41"/>
      <c r="G42" s="31">
        <f t="shared" si="1"/>
        <v>0</v>
      </c>
      <c r="H42" s="32"/>
    </row>
    <row r="43" spans="1:8" ht="16.5" x14ac:dyDescent="0.35">
      <c r="A43" s="40"/>
      <c r="B43" s="27"/>
      <c r="C43" s="39"/>
      <c r="D43" s="38" t="s">
        <v>62</v>
      </c>
      <c r="E43" s="16">
        <v>800</v>
      </c>
      <c r="F43" s="42"/>
      <c r="G43" s="31">
        <f t="shared" si="1"/>
        <v>0</v>
      </c>
      <c r="H43" s="32"/>
    </row>
    <row r="44" spans="1:8" ht="16.5" x14ac:dyDescent="0.35">
      <c r="A44" s="48"/>
      <c r="B44" s="49"/>
      <c r="C44" s="44"/>
      <c r="D44" s="50"/>
      <c r="E44" s="51"/>
      <c r="F44" s="52"/>
      <c r="G44" s="53">
        <f t="shared" ref="G44" si="2">E44*F44</f>
        <v>0</v>
      </c>
      <c r="H44" s="50"/>
    </row>
    <row r="45" spans="1:8" x14ac:dyDescent="0.25">
      <c r="A45" s="45"/>
      <c r="B45" s="54"/>
      <c r="C45" s="14" t="s">
        <v>37</v>
      </c>
      <c r="D45" s="55"/>
      <c r="E45" s="46"/>
      <c r="F45" s="46">
        <f>SUM(F44:F44)</f>
        <v>0</v>
      </c>
      <c r="G45" s="46"/>
      <c r="H45" s="47">
        <f>SUM(G44:G44)</f>
        <v>0</v>
      </c>
    </row>
    <row r="46" spans="1:8" x14ac:dyDescent="0.25">
      <c r="A46" s="26">
        <v>3</v>
      </c>
      <c r="B46" s="33" t="s">
        <v>63</v>
      </c>
      <c r="C46" s="73" t="s">
        <v>52</v>
      </c>
      <c r="D46" s="74" t="s">
        <v>64</v>
      </c>
      <c r="E46" s="16">
        <v>800</v>
      </c>
      <c r="F46" s="31"/>
      <c r="G46" s="31">
        <f t="shared" ref="G46:G55" si="3">E46*F46</f>
        <v>0</v>
      </c>
      <c r="H46" s="32"/>
    </row>
    <row r="47" spans="1:8" x14ac:dyDescent="0.25">
      <c r="A47" s="26"/>
      <c r="B47" s="33"/>
      <c r="C47" s="35"/>
      <c r="D47" s="74" t="s">
        <v>65</v>
      </c>
      <c r="E47" s="16">
        <v>800</v>
      </c>
      <c r="F47" s="31"/>
      <c r="G47" s="31"/>
      <c r="H47" s="32"/>
    </row>
    <row r="48" spans="1:8" x14ac:dyDescent="0.25">
      <c r="A48" s="26"/>
      <c r="B48" s="33"/>
      <c r="C48" s="35"/>
      <c r="D48" s="74" t="s">
        <v>66</v>
      </c>
      <c r="E48" s="16">
        <v>800</v>
      </c>
      <c r="F48" s="31"/>
      <c r="G48" s="31"/>
      <c r="H48" s="32"/>
    </row>
    <row r="49" spans="1:8" x14ac:dyDescent="0.25">
      <c r="A49" s="26"/>
      <c r="B49" s="33"/>
      <c r="C49" s="35"/>
      <c r="D49" s="74" t="s">
        <v>67</v>
      </c>
      <c r="E49" s="16">
        <v>800</v>
      </c>
      <c r="F49" s="31"/>
      <c r="G49" s="31"/>
      <c r="H49" s="32"/>
    </row>
    <row r="50" spans="1:8" x14ac:dyDescent="0.25">
      <c r="A50" s="26"/>
      <c r="B50" s="33"/>
      <c r="C50" s="33"/>
      <c r="D50" s="32"/>
      <c r="E50" s="43"/>
      <c r="F50" s="31"/>
      <c r="G50" s="31"/>
      <c r="H50" s="32"/>
    </row>
    <row r="51" spans="1:8" x14ac:dyDescent="0.25">
      <c r="A51" s="26"/>
      <c r="B51" s="33"/>
      <c r="C51" s="33"/>
      <c r="D51" s="32"/>
      <c r="E51" s="43"/>
      <c r="F51" s="31"/>
      <c r="G51" s="31"/>
      <c r="H51" s="32"/>
    </row>
    <row r="52" spans="1:8" x14ac:dyDescent="0.25">
      <c r="A52" s="26">
        <v>4</v>
      </c>
      <c r="B52" s="73" t="s">
        <v>78</v>
      </c>
      <c r="C52" s="73" t="s">
        <v>68</v>
      </c>
      <c r="D52" s="32" t="s">
        <v>69</v>
      </c>
      <c r="E52" s="16">
        <v>800</v>
      </c>
      <c r="F52" s="31"/>
      <c r="G52" s="31"/>
      <c r="H52" s="32"/>
    </row>
    <row r="53" spans="1:8" x14ac:dyDescent="0.25">
      <c r="A53" s="26"/>
      <c r="B53" s="73"/>
      <c r="C53" s="73"/>
      <c r="D53" s="75" t="s">
        <v>70</v>
      </c>
      <c r="E53" s="16">
        <v>800</v>
      </c>
      <c r="F53" s="31"/>
      <c r="G53" s="31"/>
      <c r="H53" s="32"/>
    </row>
    <row r="54" spans="1:8" x14ac:dyDescent="0.25">
      <c r="A54" s="26"/>
      <c r="B54" s="73"/>
      <c r="C54" s="73"/>
      <c r="D54" s="28" t="s">
        <v>71</v>
      </c>
      <c r="E54" s="16">
        <v>800</v>
      </c>
      <c r="F54" s="31"/>
      <c r="G54" s="31"/>
      <c r="H54" s="32"/>
    </row>
    <row r="55" spans="1:8" x14ac:dyDescent="0.25">
      <c r="A55" s="26"/>
      <c r="B55" s="73"/>
      <c r="C55" s="73"/>
      <c r="D55" s="32" t="s">
        <v>72</v>
      </c>
      <c r="E55" s="16">
        <v>800</v>
      </c>
      <c r="F55" s="31"/>
      <c r="G55" s="31">
        <f t="shared" si="3"/>
        <v>0</v>
      </c>
      <c r="H55" s="32"/>
    </row>
  </sheetData>
  <conditionalFormatting sqref="D33:D37">
    <cfRule type="duplicateValues" dxfId="1" priority="1"/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humas</vt:lpstr>
      <vt:lpstr>bmhp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Ratna RS Prima Husada</dc:creator>
  <cp:lastModifiedBy>ADMIN</cp:lastModifiedBy>
  <dcterms:created xsi:type="dcterms:W3CDTF">2025-01-18T02:16:25Z</dcterms:created>
  <dcterms:modified xsi:type="dcterms:W3CDTF">2025-02-08T06:58:09Z</dcterms:modified>
</cp:coreProperties>
</file>