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2. SURAT\4. SURAT PERMOHONAN\2025\02. INTERNAL\"/>
    </mc:Choice>
  </mc:AlternateContent>
  <xr:revisionPtr revIDLastSave="0" documentId="8_{70671193-C971-42A3-8A5E-83DB21EB8FFF}" xr6:coauthVersionLast="47" xr6:coauthVersionMax="47" xr10:uidLastSave="{00000000-0000-0000-0000-000000000000}"/>
  <bookViews>
    <workbookView xWindow="-120" yWindow="-120" windowWidth="20730" windowHeight="11160" firstSheet="2" activeTab="2" xr2:uid="{2B95A296-CC97-44A1-A46B-49489BA88543}"/>
  </bookViews>
  <sheets>
    <sheet name="Penunjang - SEMESTER 1 2024" sheetId="2" r:id="rId1"/>
    <sheet name="Penunjang - SEMESTER 2 2024" sheetId="3" r:id="rId2"/>
    <sheet name="Penunjang - SEMESTER 1 2025" sheetId="4" r:id="rId3"/>
    <sheet name="Pelayanan Med - SEMESTER 1 2025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6" i="5" l="1"/>
  <c r="M147" i="5" s="1"/>
  <c r="L146" i="5"/>
  <c r="L147" i="5" s="1"/>
  <c r="K146" i="5"/>
  <c r="K147" i="5" s="1"/>
  <c r="J146" i="5"/>
  <c r="J147" i="5" s="1"/>
  <c r="I146" i="5"/>
  <c r="I147" i="5" s="1"/>
  <c r="H146" i="5"/>
  <c r="H147" i="5" s="1"/>
  <c r="M43" i="5"/>
  <c r="M149" i="5" s="1"/>
  <c r="L43" i="5"/>
  <c r="L149" i="5" s="1"/>
  <c r="K43" i="5"/>
  <c r="K149" i="5" s="1"/>
  <c r="J43" i="5"/>
  <c r="J149" i="5" s="1"/>
  <c r="I43" i="5"/>
  <c r="I149" i="5" s="1"/>
  <c r="H43" i="5"/>
  <c r="H149" i="5" s="1"/>
  <c r="M146" i="4" l="1"/>
  <c r="M147" i="4" s="1"/>
  <c r="L146" i="4"/>
  <c r="L147" i="4" s="1"/>
  <c r="K146" i="4"/>
  <c r="K147" i="4" s="1"/>
  <c r="J146" i="4"/>
  <c r="J147" i="4" s="1"/>
  <c r="I146" i="4"/>
  <c r="I147" i="4" s="1"/>
  <c r="H146" i="4"/>
  <c r="H147" i="4" s="1"/>
  <c r="M43" i="4"/>
  <c r="L43" i="4"/>
  <c r="K43" i="4"/>
  <c r="J43" i="4"/>
  <c r="J149" i="4" s="1"/>
  <c r="I43" i="4"/>
  <c r="H43" i="4"/>
  <c r="I149" i="4" l="1"/>
  <c r="H149" i="4"/>
  <c r="K149" i="4"/>
  <c r="L149" i="4"/>
  <c r="M149" i="4"/>
  <c r="M146" i="3"/>
  <c r="M147" i="3" s="1"/>
  <c r="L146" i="3"/>
  <c r="L147" i="3" s="1"/>
  <c r="K146" i="3"/>
  <c r="K147" i="3" s="1"/>
  <c r="J146" i="3"/>
  <c r="J147" i="3" s="1"/>
  <c r="I146" i="3"/>
  <c r="I147" i="3" s="1"/>
  <c r="H146" i="3"/>
  <c r="H147" i="3" s="1"/>
  <c r="M43" i="3"/>
  <c r="L43" i="3"/>
  <c r="K43" i="3"/>
  <c r="J43" i="3"/>
  <c r="I43" i="3"/>
  <c r="I149" i="3" s="1"/>
  <c r="H43" i="3"/>
  <c r="J149" i="3" l="1"/>
  <c r="H149" i="3"/>
  <c r="L149" i="3"/>
  <c r="K149" i="3"/>
  <c r="M149" i="3"/>
  <c r="H146" i="2"/>
  <c r="H43" i="2" l="1"/>
  <c r="I146" i="2"/>
  <c r="I147" i="2" s="1"/>
  <c r="J146" i="2"/>
  <c r="J147" i="2" s="1"/>
  <c r="K146" i="2"/>
  <c r="K147" i="2" s="1"/>
  <c r="L146" i="2"/>
  <c r="L147" i="2" s="1"/>
  <c r="M146" i="2"/>
  <c r="M147" i="2" s="1"/>
  <c r="H147" i="2"/>
  <c r="M43" i="2"/>
  <c r="L43" i="2"/>
  <c r="K43" i="2"/>
  <c r="J43" i="2"/>
  <c r="I43" i="2"/>
  <c r="M149" i="2" l="1"/>
  <c r="K149" i="2"/>
  <c r="L149" i="2"/>
  <c r="J149" i="2"/>
  <c r="I149" i="2"/>
  <c r="H149" i="2"/>
</calcChain>
</file>

<file path=xl/sharedStrings.xml><?xml version="1.0" encoding="utf-8"?>
<sst xmlns="http://schemas.openxmlformats.org/spreadsheetml/2006/main" count="832" uniqueCount="136">
  <si>
    <t>EVALUASI KINERJA STAF</t>
  </si>
  <si>
    <t>RS PRIMA HUSADA</t>
  </si>
  <si>
    <t>Nama Lengkap</t>
  </si>
  <si>
    <t>Jenis Kelamin</t>
  </si>
  <si>
    <t>Pendidikan Formal</t>
  </si>
  <si>
    <t>Kompetensi Khusus</t>
  </si>
  <si>
    <t>Unit Kerja</t>
  </si>
  <si>
    <t>Periode Penilaian</t>
  </si>
  <si>
    <t>Semester 1 (Januari - Juni)</t>
  </si>
  <si>
    <t>No</t>
  </si>
  <si>
    <t>Proporsi</t>
  </si>
  <si>
    <t>Indikator</t>
  </si>
  <si>
    <t>Metode</t>
  </si>
  <si>
    <t>Score</t>
  </si>
  <si>
    <t>Januari</t>
  </si>
  <si>
    <t>Februari</t>
  </si>
  <si>
    <t>Maret</t>
  </si>
  <si>
    <t>April</t>
  </si>
  <si>
    <t xml:space="preserve">Mei </t>
  </si>
  <si>
    <t>Juni</t>
  </si>
  <si>
    <t>A</t>
  </si>
  <si>
    <t>Penilaian Umum</t>
  </si>
  <si>
    <t>Perilaku</t>
  </si>
  <si>
    <t>a</t>
  </si>
  <si>
    <t>Disiplin</t>
  </si>
  <si>
    <t>Waktu kerja</t>
  </si>
  <si>
    <t>Datang tepat waktu</t>
  </si>
  <si>
    <t>Finger print</t>
  </si>
  <si>
    <t>Terlambat &lt;10%</t>
  </si>
  <si>
    <t>Terlambat &gt;10%</t>
  </si>
  <si>
    <t>Kehadiran</t>
  </si>
  <si>
    <t>Selalu masuk</t>
  </si>
  <si>
    <t>Ijin pulang cepat &gt; 1 kali</t>
  </si>
  <si>
    <t>Alpa</t>
  </si>
  <si>
    <t>b</t>
  </si>
  <si>
    <t>Tanggung Jawab</t>
  </si>
  <si>
    <t>Patuh terhadap jadwal yang telah dibuat</t>
  </si>
  <si>
    <t>Tidak pernah tukar jadwal</t>
  </si>
  <si>
    <t>Tukar jadwal 1 - 3 kali</t>
  </si>
  <si>
    <t>Tukar jadwal &gt; 3 kali</t>
  </si>
  <si>
    <t>Pengembangan Diri</t>
  </si>
  <si>
    <t>Diklat Internal</t>
  </si>
  <si>
    <t>Menghadiri diklat sampai akhir</t>
  </si>
  <si>
    <t>Tarik data (absensi diklat)</t>
  </si>
  <si>
    <t>Datang di awal dan keluar dipertengahan diklat</t>
  </si>
  <si>
    <t>Tidak datang</t>
  </si>
  <si>
    <t xml:space="preserve">Kinerja </t>
  </si>
  <si>
    <t>Mengikuti rapat rutin unit</t>
  </si>
  <si>
    <t>Mengikuti rapat rutin unit setiap bulan</t>
  </si>
  <si>
    <t xml:space="preserve">Absensi </t>
  </si>
  <si>
    <t>Tidak menghadiri rapat rutin unit karena sakit / tugas, tetapi mengikuti via zoom</t>
  </si>
  <si>
    <t>Tidak mengikuti rapat rutin unit tanpa alasan</t>
  </si>
  <si>
    <t>Kejadian KTD, Sentinel</t>
  </si>
  <si>
    <t>Tidak pernah ada kejadian</t>
  </si>
  <si>
    <t>1 kali kejadian</t>
  </si>
  <si>
    <t>&gt;1 kali kejadian</t>
  </si>
  <si>
    <t>Masa kerja</t>
  </si>
  <si>
    <t>&gt;9 tahun</t>
  </si>
  <si>
    <t>4 - 8 tahun 11 bulan</t>
  </si>
  <si>
    <t>0 - 3 tahun 11 bulan</t>
  </si>
  <si>
    <t>Total Penilaian</t>
  </si>
  <si>
    <t>Kategori Penilaian</t>
  </si>
  <si>
    <t>Prosentase Hasil</t>
  </si>
  <si>
    <t>Kategori Penilaian OPPE</t>
  </si>
  <si>
    <t>Parameter Nilai</t>
  </si>
  <si>
    <t>Sangat Baik</t>
  </si>
  <si>
    <t>Baik</t>
  </si>
  <si>
    <t>Cukup</t>
  </si>
  <si>
    <t>Kurang</t>
  </si>
  <si>
    <t>Sangat Kurang</t>
  </si>
  <si>
    <t>Parameter Prosentase</t>
  </si>
  <si>
    <t>81% - 100%</t>
  </si>
  <si>
    <t>61% - 80%</t>
  </si>
  <si>
    <t>Ckup</t>
  </si>
  <si>
    <t>41% - 60%</t>
  </si>
  <si>
    <t>21% - 40%</t>
  </si>
  <si>
    <t>1% - 20%</t>
  </si>
  <si>
    <t>PENAMPILAN</t>
  </si>
  <si>
    <t xml:space="preserve">Penggunaan ID card </t>
  </si>
  <si>
    <t>Kebersihan Diri Petugas</t>
  </si>
  <si>
    <t>Kerapian petugas</t>
  </si>
  <si>
    <t>Mampu melakukan supervisi unit dan mendokumentasikannya</t>
  </si>
  <si>
    <t>KINERJA PRODUKTIVITAS</t>
  </si>
  <si>
    <t>KUALITAS LAPORAN BULANAN</t>
  </si>
  <si>
    <t>Mampu membuat laporan bulanan dengan sistematika yang baik</t>
  </si>
  <si>
    <t>Mampu menampilkan analisa dari laporan bulanan unit</t>
  </si>
  <si>
    <t>Mengirimkan dokumen sebelum tanggal 3 di setiap bulannya</t>
  </si>
  <si>
    <t>Mampu memberikan informasi kinerja unit melalui laporan bulanan</t>
  </si>
  <si>
    <t>Mampu Menyelesaikan perintah atasan</t>
  </si>
  <si>
    <t>sangat baik</t>
  </si>
  <si>
    <t>baik</t>
  </si>
  <si>
    <t>cukup</t>
  </si>
  <si>
    <t>kurang</t>
  </si>
  <si>
    <t>sangat kurang</t>
  </si>
  <si>
    <t>tidak dilakukan</t>
  </si>
  <si>
    <t>Mampu menjadi contoh / teladan untuk staf</t>
  </si>
  <si>
    <t>Uraian Tugas, Tanggung Jawab, Wewenang</t>
  </si>
  <si>
    <t>Tidak ada komplain terkait unit (komplain customer dan karyawan unit lain)</t>
  </si>
  <si>
    <t>zero komplain</t>
  </si>
  <si>
    <t>sebelum deadline</t>
  </si>
  <si>
    <t>saat deadline</t>
  </si>
  <si>
    <t>setelah deadline</t>
  </si>
  <si>
    <t>Rapi</t>
  </si>
  <si>
    <t>Tidak rapi</t>
  </si>
  <si>
    <t>Memakai</t>
  </si>
  <si>
    <t>Tidak Memakai</t>
  </si>
  <si>
    <t>Bersih</t>
  </si>
  <si>
    <t>Kurang bersih</t>
  </si>
  <si>
    <t>Kotor</t>
  </si>
  <si>
    <t>Mampu menyelesaikan masalah dalam unitnya</t>
  </si>
  <si>
    <t>Komplain 1-5</t>
  </si>
  <si>
    <t>Komplain &gt; 5</t>
  </si>
  <si>
    <t>Mampu berkoordinasi dengan baik di internal maupun eksternal unit</t>
  </si>
  <si>
    <t>Mampu mengatur dan mengkoordinasikan seluruh kegiatan pelayanan di unit</t>
  </si>
  <si>
    <t>Mampu mengkoordinir pemeliharaan sarana dan prasarana di unit agar selalu dalam kondisi baik termasuk inventarisasi unit</t>
  </si>
  <si>
    <t>TOTAL PENILAIAN</t>
  </si>
  <si>
    <t xml:space="preserve">Putri Indah Purnamasari Amd. Keb </t>
  </si>
  <si>
    <t xml:space="preserve">Perempuan </t>
  </si>
  <si>
    <t>D3 Kebidanan</t>
  </si>
  <si>
    <t>-</t>
  </si>
  <si>
    <t>Management</t>
  </si>
  <si>
    <t>OPPE KABID</t>
  </si>
  <si>
    <t>Melakukan rapat rutin bulanan dengan unit dan mengirimkan hasil kepada direktur</t>
  </si>
  <si>
    <t>Mampu Melakukan evaluasi terhadap staf serta kains di unit dan mendokumentasikannya</t>
  </si>
  <si>
    <t>Mampu menyelesaikan tugas sesuai dengan target</t>
  </si>
  <si>
    <t>Semester 2 (Juli-Desember)</t>
  </si>
  <si>
    <t>Juli</t>
  </si>
  <si>
    <t>Agustus</t>
  </si>
  <si>
    <t>September</t>
  </si>
  <si>
    <t>Oktober</t>
  </si>
  <si>
    <t>November</t>
  </si>
  <si>
    <t>Desember</t>
  </si>
  <si>
    <t>Mengirimkan dokumen sebelum tanggal 6 di setiap bulannya</t>
  </si>
  <si>
    <t>Puput Sekar Nari Ratih Amd, Keb. SE</t>
  </si>
  <si>
    <t>D3 Kebidanan dan S1 Ekonomi</t>
  </si>
  <si>
    <t>Mampu Melakukan evaluasi terhadap DPJP serta kains di unit dan mendokumentasikannya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</si>
</sst>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19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1" fillId="4" borderId="2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5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4" fillId="5" borderId="7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/>
    </xf>
    <xf numFmtId="0" fontId="4" fillId="5" borderId="3" xfId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0" xfId="0" applyFont="1" applyFill="1"/>
    <xf numFmtId="0" fontId="0" fillId="5" borderId="0" xfId="0" applyFill="1"/>
    <xf numFmtId="0" fontId="1" fillId="0" borderId="1" xfId="0" applyFont="1" applyBorder="1" applyAlignment="1">
      <alignment vertical="center" wrapText="1"/>
    </xf>
    <xf numFmtId="0" fontId="2" fillId="6" borderId="8" xfId="0" applyFont="1" applyFill="1" applyBorder="1" applyAlignment="1">
      <alignment horizontal="center" vertical="top"/>
    </xf>
    <xf numFmtId="0" fontId="0" fillId="6" borderId="0" xfId="0" applyFill="1"/>
    <xf numFmtId="0" fontId="1" fillId="0" borderId="1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0" fontId="2" fillId="4" borderId="13" xfId="0" applyFont="1" applyFill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4" borderId="5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4" borderId="7" xfId="0" applyFont="1" applyFill="1" applyBorder="1" applyAlignment="1">
      <alignment horizontal="left" vertical="top"/>
    </xf>
    <xf numFmtId="9" fontId="1" fillId="4" borderId="2" xfId="0" applyNumberFormat="1" applyFont="1" applyFill="1" applyBorder="1" applyAlignment="1">
      <alignment horizontal="center"/>
    </xf>
    <xf numFmtId="9" fontId="1" fillId="4" borderId="3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04852BC9-CCEB-4F69-BAD3-B7C4093A2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0</xdr:row>
      <xdr:rowOff>95249</xdr:rowOff>
    </xdr:from>
    <xdr:to>
      <xdr:col>3</xdr:col>
      <xdr:colOff>986957</xdr:colOff>
      <xdr:row>2</xdr:row>
      <xdr:rowOff>173143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19462-F254-4F01-B7F9-22995F16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37" y="95249"/>
          <a:ext cx="1962740" cy="4512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582084</xdr:colOff>
      <xdr:row>0</xdr:row>
      <xdr:rowOff>95250</xdr:rowOff>
    </xdr:from>
    <xdr:to>
      <xdr:col>11</xdr:col>
      <xdr:colOff>399522</xdr:colOff>
      <xdr:row>3</xdr:row>
      <xdr:rowOff>43462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6920AB-EB60-4BA1-8D4F-7B05B35C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8504" y="95250"/>
          <a:ext cx="1797050" cy="4968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0</xdr:row>
      <xdr:rowOff>95249</xdr:rowOff>
    </xdr:from>
    <xdr:to>
      <xdr:col>3</xdr:col>
      <xdr:colOff>986957</xdr:colOff>
      <xdr:row>2</xdr:row>
      <xdr:rowOff>154093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3CFD1-CB5E-4795-962F-0BBFBEFE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017" y="95249"/>
          <a:ext cx="1962740" cy="4398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582084</xdr:colOff>
      <xdr:row>0</xdr:row>
      <xdr:rowOff>95250</xdr:rowOff>
    </xdr:from>
    <xdr:to>
      <xdr:col>11</xdr:col>
      <xdr:colOff>270631</xdr:colOff>
      <xdr:row>3</xdr:row>
      <xdr:rowOff>14887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8FC194-FD7D-4E66-AB61-0BF72FB3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0284" y="95250"/>
          <a:ext cx="1797050" cy="4911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0</xdr:row>
      <xdr:rowOff>95249</xdr:rowOff>
    </xdr:from>
    <xdr:to>
      <xdr:col>3</xdr:col>
      <xdr:colOff>986957</xdr:colOff>
      <xdr:row>2</xdr:row>
      <xdr:rowOff>160443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E2917-793A-4C57-9EC3-1790D054C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017" y="95249"/>
          <a:ext cx="1962740" cy="4334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582084</xdr:colOff>
      <xdr:row>0</xdr:row>
      <xdr:rowOff>95250</xdr:rowOff>
    </xdr:from>
    <xdr:to>
      <xdr:col>11</xdr:col>
      <xdr:colOff>399522</xdr:colOff>
      <xdr:row>3</xdr:row>
      <xdr:rowOff>24412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F016F-8737-4DF8-A4B3-BF2DCB54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1634" y="95250"/>
          <a:ext cx="1798638" cy="4816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0</xdr:row>
      <xdr:rowOff>95249</xdr:rowOff>
    </xdr:from>
    <xdr:to>
      <xdr:col>3</xdr:col>
      <xdr:colOff>986957</xdr:colOff>
      <xdr:row>2</xdr:row>
      <xdr:rowOff>135043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7A99C-D7DD-487D-9F98-E4F96281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017" y="95249"/>
          <a:ext cx="1962740" cy="4207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582084</xdr:colOff>
      <xdr:row>0</xdr:row>
      <xdr:rowOff>95250</xdr:rowOff>
    </xdr:from>
    <xdr:to>
      <xdr:col>11</xdr:col>
      <xdr:colOff>399522</xdr:colOff>
      <xdr:row>2</xdr:row>
      <xdr:rowOff>179987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D49C9-E55E-4FD0-9004-1B37B79F3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2234" y="95250"/>
          <a:ext cx="1760538" cy="4657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E1A2-F045-4308-92DE-1D6D98EDC075}">
  <dimension ref="A1:S164"/>
  <sheetViews>
    <sheetView zoomScale="80" zoomScaleNormal="80" workbookViewId="0">
      <selection sqref="A1:XFD1048576"/>
    </sheetView>
  </sheetViews>
  <sheetFormatPr defaultRowHeight="15" x14ac:dyDescent="0.25"/>
  <cols>
    <col min="4" max="4" width="27" customWidth="1"/>
    <col min="5" max="5" width="34.7109375" customWidth="1"/>
    <col min="6" max="6" width="24.85546875" bestFit="1" customWidth="1"/>
    <col min="9" max="9" width="10.85546875" customWidth="1"/>
  </cols>
  <sheetData>
    <row r="1" spans="1:14" s="1" customFormat="1" ht="14.25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4" s="1" customFormat="1" ht="14.25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s="1" customFormat="1" ht="14.25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4" s="1" customFormat="1" ht="14.25" x14ac:dyDescent="0.2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4" s="1" customFormat="1" x14ac:dyDescent="0.25">
      <c r="A5" s="115" t="s">
        <v>0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</row>
    <row r="6" spans="1:14" s="1" customFormat="1" x14ac:dyDescent="0.25">
      <c r="A6" s="115" t="s">
        <v>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14" s="1" customFormat="1" ht="14.25" x14ac:dyDescent="0.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4" s="1" customFormat="1" ht="15" customHeight="1" x14ac:dyDescent="0.2">
      <c r="A8" s="38"/>
      <c r="B8" s="116" t="s">
        <v>2</v>
      </c>
      <c r="C8" s="116"/>
      <c r="D8" s="116"/>
      <c r="E8" s="116" t="s">
        <v>116</v>
      </c>
      <c r="F8" s="116"/>
      <c r="G8" s="116"/>
      <c r="H8" s="116"/>
      <c r="I8" s="116"/>
      <c r="J8" s="116"/>
      <c r="K8" s="116"/>
      <c r="L8" s="116"/>
      <c r="M8" s="116"/>
    </row>
    <row r="9" spans="1:14" s="1" customFormat="1" ht="15" customHeight="1" x14ac:dyDescent="0.2">
      <c r="A9" s="38"/>
      <c r="B9" s="116" t="s">
        <v>3</v>
      </c>
      <c r="C9" s="116"/>
      <c r="D9" s="116"/>
      <c r="E9" s="116" t="s">
        <v>117</v>
      </c>
      <c r="F9" s="116"/>
      <c r="G9" s="116"/>
      <c r="H9" s="116"/>
      <c r="I9" s="116"/>
      <c r="J9" s="116"/>
      <c r="K9" s="116"/>
      <c r="L9" s="116"/>
      <c r="M9" s="116"/>
    </row>
    <row r="10" spans="1:14" s="1" customFormat="1" ht="15" customHeight="1" x14ac:dyDescent="0.2">
      <c r="A10" s="38"/>
      <c r="B10" s="116" t="s">
        <v>4</v>
      </c>
      <c r="C10" s="116"/>
      <c r="D10" s="116"/>
      <c r="E10" s="116" t="s">
        <v>118</v>
      </c>
      <c r="F10" s="116"/>
      <c r="G10" s="116"/>
      <c r="H10" s="116"/>
      <c r="I10" s="116"/>
      <c r="J10" s="116"/>
      <c r="K10" s="116"/>
      <c r="L10" s="116"/>
      <c r="M10" s="116"/>
    </row>
    <row r="11" spans="1:14" s="1" customFormat="1" ht="15" customHeight="1" x14ac:dyDescent="0.2">
      <c r="A11" s="38"/>
      <c r="B11" s="116" t="s">
        <v>5</v>
      </c>
      <c r="C11" s="116"/>
      <c r="D11" s="116"/>
      <c r="E11" s="116" t="s">
        <v>119</v>
      </c>
      <c r="F11" s="116"/>
      <c r="G11" s="116"/>
      <c r="H11" s="116"/>
      <c r="I11" s="116"/>
      <c r="J11" s="116"/>
      <c r="K11" s="116"/>
      <c r="L11" s="116"/>
      <c r="M11" s="116"/>
    </row>
    <row r="12" spans="1:14" s="1" customFormat="1" ht="15" customHeight="1" x14ac:dyDescent="0.2">
      <c r="A12" s="38"/>
      <c r="B12" s="116" t="s">
        <v>6</v>
      </c>
      <c r="C12" s="116"/>
      <c r="D12" s="116"/>
      <c r="E12" s="116" t="s">
        <v>120</v>
      </c>
      <c r="F12" s="116"/>
      <c r="G12" s="116"/>
      <c r="H12" s="116"/>
      <c r="I12" s="116"/>
      <c r="J12" s="116"/>
      <c r="K12" s="116"/>
      <c r="L12" s="116"/>
      <c r="M12" s="116"/>
    </row>
    <row r="13" spans="1:14" s="1" customFormat="1" ht="15" customHeight="1" x14ac:dyDescent="0.2">
      <c r="A13" s="38"/>
      <c r="B13" s="116" t="s">
        <v>7</v>
      </c>
      <c r="C13" s="116"/>
      <c r="D13" s="116"/>
      <c r="E13" s="116" t="s">
        <v>8</v>
      </c>
      <c r="F13" s="116"/>
      <c r="G13" s="116"/>
      <c r="H13" s="116"/>
      <c r="I13" s="116"/>
      <c r="J13" s="116"/>
      <c r="K13" s="116"/>
      <c r="L13" s="116"/>
      <c r="M13" s="116"/>
    </row>
    <row r="14" spans="1:14" s="1" customFormat="1" ht="14.25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4" s="1" customFormat="1" x14ac:dyDescent="0.25">
      <c r="A15" s="117" t="s">
        <v>9</v>
      </c>
      <c r="B15" s="118"/>
      <c r="C15" s="40" t="s">
        <v>10</v>
      </c>
      <c r="D15" s="113" t="s">
        <v>11</v>
      </c>
      <c r="E15" s="113"/>
      <c r="F15" s="39" t="s">
        <v>12</v>
      </c>
      <c r="G15" s="2" t="s">
        <v>13</v>
      </c>
      <c r="H15" s="41" t="s">
        <v>14</v>
      </c>
      <c r="I15" s="41" t="s">
        <v>15</v>
      </c>
      <c r="J15" s="41" t="s">
        <v>16</v>
      </c>
      <c r="K15" s="41" t="s">
        <v>17</v>
      </c>
      <c r="L15" s="41" t="s">
        <v>18</v>
      </c>
      <c r="M15" s="41" t="s">
        <v>19</v>
      </c>
      <c r="N15" s="3"/>
    </row>
    <row r="16" spans="1:14" s="1" customFormat="1" x14ac:dyDescent="0.25">
      <c r="A16" s="113" t="s">
        <v>20</v>
      </c>
      <c r="B16" s="113"/>
      <c r="C16" s="39">
        <v>100</v>
      </c>
      <c r="D16" s="4" t="s">
        <v>21</v>
      </c>
      <c r="E16" s="5"/>
      <c r="F16" s="5"/>
      <c r="G16" s="5"/>
      <c r="H16" s="5"/>
      <c r="I16" s="5"/>
      <c r="J16" s="5"/>
      <c r="K16" s="5"/>
      <c r="L16" s="5"/>
      <c r="M16" s="6"/>
      <c r="N16" s="3"/>
    </row>
    <row r="17" spans="1:14" s="1" customFormat="1" x14ac:dyDescent="0.25">
      <c r="A17" s="41">
        <v>1</v>
      </c>
      <c r="B17" s="41"/>
      <c r="C17" s="39">
        <v>50</v>
      </c>
      <c r="D17" s="4" t="s">
        <v>22</v>
      </c>
      <c r="E17" s="5"/>
      <c r="F17" s="5"/>
      <c r="G17" s="5"/>
      <c r="H17" s="5"/>
      <c r="I17" s="5"/>
      <c r="J17" s="5"/>
      <c r="K17" s="5"/>
      <c r="L17" s="5"/>
      <c r="M17" s="6"/>
      <c r="N17" s="3"/>
    </row>
    <row r="18" spans="1:14" s="1" customFormat="1" ht="15" customHeight="1" x14ac:dyDescent="0.2">
      <c r="A18" s="95" t="s">
        <v>23</v>
      </c>
      <c r="B18" s="95"/>
      <c r="C18" s="42"/>
      <c r="D18" s="43" t="s">
        <v>24</v>
      </c>
      <c r="E18" s="7"/>
      <c r="F18" s="7"/>
      <c r="G18" s="37"/>
      <c r="H18" s="38"/>
      <c r="I18" s="38"/>
      <c r="J18" s="38"/>
      <c r="K18" s="38"/>
      <c r="L18" s="38"/>
      <c r="M18" s="38"/>
      <c r="N18" s="3"/>
    </row>
    <row r="19" spans="1:14" s="1" customFormat="1" ht="15" customHeight="1" x14ac:dyDescent="0.2">
      <c r="A19" s="96"/>
      <c r="B19" s="96">
        <v>1</v>
      </c>
      <c r="C19" s="96">
        <v>20</v>
      </c>
      <c r="D19" s="104" t="s">
        <v>25</v>
      </c>
      <c r="E19" s="7" t="s">
        <v>26</v>
      </c>
      <c r="F19" s="8" t="s">
        <v>27</v>
      </c>
      <c r="G19" s="9">
        <v>20</v>
      </c>
      <c r="H19" s="92">
        <v>20</v>
      </c>
      <c r="I19" s="92">
        <v>10</v>
      </c>
      <c r="J19" s="92">
        <v>20</v>
      </c>
      <c r="K19" s="92">
        <v>20</v>
      </c>
      <c r="L19" s="92">
        <v>20</v>
      </c>
      <c r="M19" s="92">
        <v>10</v>
      </c>
      <c r="N19" s="3"/>
    </row>
    <row r="20" spans="1:14" s="1" customFormat="1" ht="15" customHeight="1" x14ac:dyDescent="0.2">
      <c r="A20" s="97"/>
      <c r="B20" s="97"/>
      <c r="C20" s="97"/>
      <c r="D20" s="104"/>
      <c r="E20" s="7" t="s">
        <v>28</v>
      </c>
      <c r="F20" s="8"/>
      <c r="G20" s="9">
        <v>10</v>
      </c>
      <c r="H20" s="93"/>
      <c r="I20" s="93"/>
      <c r="J20" s="93"/>
      <c r="K20" s="93"/>
      <c r="L20" s="93"/>
      <c r="M20" s="93"/>
      <c r="N20" s="3"/>
    </row>
    <row r="21" spans="1:14" s="1" customFormat="1" ht="15" customHeight="1" x14ac:dyDescent="0.2">
      <c r="A21" s="97"/>
      <c r="B21" s="102"/>
      <c r="C21" s="102"/>
      <c r="D21" s="104"/>
      <c r="E21" s="7" t="s">
        <v>29</v>
      </c>
      <c r="F21" s="8"/>
      <c r="G21" s="9">
        <v>0</v>
      </c>
      <c r="H21" s="94"/>
      <c r="I21" s="94"/>
      <c r="J21" s="94"/>
      <c r="K21" s="94"/>
      <c r="L21" s="94"/>
      <c r="M21" s="94"/>
      <c r="N21" s="3"/>
    </row>
    <row r="22" spans="1:14" s="1" customFormat="1" ht="15" customHeight="1" x14ac:dyDescent="0.2">
      <c r="A22" s="97"/>
      <c r="B22" s="96">
        <v>2</v>
      </c>
      <c r="C22" s="96">
        <v>20</v>
      </c>
      <c r="D22" s="104" t="s">
        <v>30</v>
      </c>
      <c r="E22" s="7" t="s">
        <v>31</v>
      </c>
      <c r="F22" s="8" t="s">
        <v>27</v>
      </c>
      <c r="G22" s="9">
        <v>20</v>
      </c>
      <c r="H22" s="92">
        <v>20</v>
      </c>
      <c r="I22" s="92">
        <v>20</v>
      </c>
      <c r="J22" s="92">
        <v>20</v>
      </c>
      <c r="K22" s="92">
        <v>20</v>
      </c>
      <c r="L22" s="92">
        <v>20</v>
      </c>
      <c r="M22" s="92">
        <v>20</v>
      </c>
      <c r="N22" s="3"/>
    </row>
    <row r="23" spans="1:14" s="1" customFormat="1" ht="15" customHeight="1" x14ac:dyDescent="0.2">
      <c r="A23" s="97"/>
      <c r="B23" s="97"/>
      <c r="C23" s="97"/>
      <c r="D23" s="104"/>
      <c r="E23" s="7" t="s">
        <v>32</v>
      </c>
      <c r="F23" s="8"/>
      <c r="G23" s="9">
        <v>10</v>
      </c>
      <c r="H23" s="93"/>
      <c r="I23" s="93"/>
      <c r="J23" s="93"/>
      <c r="K23" s="93"/>
      <c r="L23" s="93"/>
      <c r="M23" s="93"/>
      <c r="N23" s="3"/>
    </row>
    <row r="24" spans="1:14" s="1" customFormat="1" ht="15" customHeight="1" x14ac:dyDescent="0.2">
      <c r="A24" s="102"/>
      <c r="B24" s="102"/>
      <c r="C24" s="102"/>
      <c r="D24" s="104"/>
      <c r="E24" s="7" t="s">
        <v>33</v>
      </c>
      <c r="F24" s="10"/>
      <c r="G24" s="11">
        <v>0</v>
      </c>
      <c r="H24" s="94"/>
      <c r="I24" s="94"/>
      <c r="J24" s="94"/>
      <c r="K24" s="94"/>
      <c r="L24" s="94"/>
      <c r="M24" s="94"/>
      <c r="N24" s="3"/>
    </row>
    <row r="25" spans="1:14" s="1" customFormat="1" ht="15" customHeight="1" x14ac:dyDescent="0.2">
      <c r="A25" s="109" t="s">
        <v>34</v>
      </c>
      <c r="B25" s="110"/>
      <c r="C25" s="12"/>
      <c r="D25" s="13" t="s">
        <v>35</v>
      </c>
      <c r="E25" s="7"/>
      <c r="F25" s="7"/>
      <c r="G25" s="37"/>
      <c r="H25" s="37"/>
      <c r="I25" s="37"/>
      <c r="J25" s="37"/>
      <c r="K25" s="37"/>
      <c r="L25" s="37"/>
      <c r="M25" s="37"/>
      <c r="N25" s="3"/>
    </row>
    <row r="26" spans="1:14" s="1" customFormat="1" ht="15" customHeight="1" x14ac:dyDescent="0.2">
      <c r="A26" s="96"/>
      <c r="B26" s="97">
        <v>3</v>
      </c>
      <c r="C26" s="96">
        <v>10</v>
      </c>
      <c r="D26" s="111" t="s">
        <v>36</v>
      </c>
      <c r="E26" s="14" t="s">
        <v>37</v>
      </c>
      <c r="F26" s="14" t="s">
        <v>27</v>
      </c>
      <c r="G26" s="37">
        <v>10</v>
      </c>
      <c r="H26" s="92">
        <v>10</v>
      </c>
      <c r="I26" s="92">
        <v>5</v>
      </c>
      <c r="J26" s="92">
        <v>10</v>
      </c>
      <c r="K26" s="92">
        <v>10</v>
      </c>
      <c r="L26" s="92">
        <v>10</v>
      </c>
      <c r="M26" s="92">
        <v>10</v>
      </c>
      <c r="N26" s="3"/>
    </row>
    <row r="27" spans="1:14" s="1" customFormat="1" ht="15" customHeight="1" x14ac:dyDescent="0.2">
      <c r="A27" s="97"/>
      <c r="B27" s="97"/>
      <c r="C27" s="97"/>
      <c r="D27" s="111"/>
      <c r="E27" s="14" t="s">
        <v>38</v>
      </c>
      <c r="F27" s="14"/>
      <c r="G27" s="37">
        <v>5</v>
      </c>
      <c r="H27" s="93"/>
      <c r="I27" s="93"/>
      <c r="J27" s="93"/>
      <c r="K27" s="93"/>
      <c r="L27" s="93"/>
      <c r="M27" s="93"/>
      <c r="N27" s="3"/>
    </row>
    <row r="28" spans="1:14" s="1" customFormat="1" ht="15" customHeight="1" x14ac:dyDescent="0.2">
      <c r="A28" s="97"/>
      <c r="B28" s="102"/>
      <c r="C28" s="102"/>
      <c r="D28" s="112"/>
      <c r="E28" s="14" t="s">
        <v>39</v>
      </c>
      <c r="F28" s="14"/>
      <c r="G28" s="37">
        <v>0</v>
      </c>
      <c r="H28" s="94"/>
      <c r="I28" s="94"/>
      <c r="J28" s="94"/>
      <c r="K28" s="94"/>
      <c r="L28" s="94"/>
      <c r="M28" s="94"/>
      <c r="N28" s="3"/>
    </row>
    <row r="29" spans="1:14" s="1" customFormat="1" x14ac:dyDescent="0.25">
      <c r="A29" s="15">
        <v>2</v>
      </c>
      <c r="B29" s="16"/>
      <c r="C29" s="17">
        <v>10</v>
      </c>
      <c r="D29" s="18" t="s">
        <v>40</v>
      </c>
      <c r="E29" s="19"/>
      <c r="F29" s="19"/>
      <c r="G29" s="20"/>
      <c r="H29" s="21"/>
      <c r="I29" s="21"/>
      <c r="J29" s="21"/>
      <c r="K29" s="21"/>
      <c r="L29" s="21"/>
      <c r="M29" s="40"/>
      <c r="N29" s="3"/>
    </row>
    <row r="30" spans="1:14" s="1" customFormat="1" ht="14.25" customHeight="1" x14ac:dyDescent="0.2">
      <c r="A30" s="105"/>
      <c r="B30" s="95">
        <v>4</v>
      </c>
      <c r="C30" s="96">
        <v>10</v>
      </c>
      <c r="D30" s="106" t="s">
        <v>41</v>
      </c>
      <c r="E30" s="22" t="s">
        <v>42</v>
      </c>
      <c r="F30" s="22" t="s">
        <v>43</v>
      </c>
      <c r="G30" s="37">
        <v>10</v>
      </c>
      <c r="H30" s="92">
        <v>10</v>
      </c>
      <c r="I30" s="92">
        <v>10</v>
      </c>
      <c r="J30" s="92">
        <v>10</v>
      </c>
      <c r="K30" s="92">
        <v>10</v>
      </c>
      <c r="L30" s="92">
        <v>10</v>
      </c>
      <c r="M30" s="92">
        <v>10</v>
      </c>
      <c r="N30" s="3"/>
    </row>
    <row r="31" spans="1:14" s="1" customFormat="1" ht="14.25" x14ac:dyDescent="0.2">
      <c r="A31" s="105"/>
      <c r="B31" s="95"/>
      <c r="C31" s="97"/>
      <c r="D31" s="107"/>
      <c r="E31" s="22" t="s">
        <v>44</v>
      </c>
      <c r="F31" s="22"/>
      <c r="G31" s="37">
        <v>5</v>
      </c>
      <c r="H31" s="93"/>
      <c r="I31" s="93"/>
      <c r="J31" s="93"/>
      <c r="K31" s="93"/>
      <c r="L31" s="93"/>
      <c r="M31" s="93"/>
      <c r="N31" s="3"/>
    </row>
    <row r="32" spans="1:14" s="1" customFormat="1" ht="14.25" x14ac:dyDescent="0.2">
      <c r="A32" s="105"/>
      <c r="B32" s="95"/>
      <c r="C32" s="102"/>
      <c r="D32" s="108"/>
      <c r="E32" s="22" t="s">
        <v>45</v>
      </c>
      <c r="F32" s="22"/>
      <c r="G32" s="37">
        <v>0</v>
      </c>
      <c r="H32" s="94"/>
      <c r="I32" s="94"/>
      <c r="J32" s="94"/>
      <c r="K32" s="94"/>
      <c r="L32" s="94"/>
      <c r="M32" s="94"/>
      <c r="N32" s="3"/>
    </row>
    <row r="33" spans="1:14" s="1" customFormat="1" x14ac:dyDescent="0.25">
      <c r="A33" s="16">
        <v>3</v>
      </c>
      <c r="B33" s="16"/>
      <c r="C33" s="17">
        <v>40</v>
      </c>
      <c r="D33" s="18" t="s">
        <v>46</v>
      </c>
      <c r="E33" s="23"/>
      <c r="F33" s="23"/>
      <c r="G33" s="24"/>
      <c r="H33" s="25"/>
      <c r="I33" s="25"/>
      <c r="J33" s="25"/>
      <c r="K33" s="25"/>
      <c r="L33" s="25"/>
      <c r="M33" s="26"/>
      <c r="N33" s="3"/>
    </row>
    <row r="34" spans="1:14" s="1" customFormat="1" ht="14.25" x14ac:dyDescent="0.2">
      <c r="A34" s="44"/>
      <c r="B34" s="95">
        <v>6</v>
      </c>
      <c r="C34" s="96">
        <v>20</v>
      </c>
      <c r="D34" s="104" t="s">
        <v>47</v>
      </c>
      <c r="E34" s="7" t="s">
        <v>48</v>
      </c>
      <c r="F34" s="7" t="s">
        <v>49</v>
      </c>
      <c r="G34" s="37">
        <v>20</v>
      </c>
      <c r="H34" s="92">
        <v>20</v>
      </c>
      <c r="I34" s="92">
        <v>20</v>
      </c>
      <c r="J34" s="92">
        <v>20</v>
      </c>
      <c r="K34" s="92">
        <v>20</v>
      </c>
      <c r="L34" s="92">
        <v>20</v>
      </c>
      <c r="M34" s="92">
        <v>20</v>
      </c>
      <c r="N34" s="3"/>
    </row>
    <row r="35" spans="1:14" s="1" customFormat="1" ht="14.25" x14ac:dyDescent="0.2">
      <c r="A35" s="27"/>
      <c r="B35" s="95"/>
      <c r="C35" s="97"/>
      <c r="D35" s="104"/>
      <c r="E35" s="7" t="s">
        <v>50</v>
      </c>
      <c r="F35" s="7"/>
      <c r="G35" s="37">
        <v>10</v>
      </c>
      <c r="H35" s="93"/>
      <c r="I35" s="93"/>
      <c r="J35" s="93"/>
      <c r="K35" s="93"/>
      <c r="L35" s="93"/>
      <c r="M35" s="93"/>
      <c r="N35" s="3"/>
    </row>
    <row r="36" spans="1:14" s="1" customFormat="1" x14ac:dyDescent="0.25">
      <c r="A36" s="16"/>
      <c r="B36" s="95"/>
      <c r="C36" s="102"/>
      <c r="D36" s="104"/>
      <c r="E36" s="7" t="s">
        <v>51</v>
      </c>
      <c r="F36" s="7"/>
      <c r="G36" s="37">
        <v>0</v>
      </c>
      <c r="H36" s="94"/>
      <c r="I36" s="94"/>
      <c r="J36" s="94"/>
      <c r="K36" s="94"/>
      <c r="L36" s="94"/>
      <c r="M36" s="94"/>
      <c r="N36" s="3"/>
    </row>
    <row r="37" spans="1:14" s="1" customFormat="1" ht="14.25" x14ac:dyDescent="0.2">
      <c r="A37" s="100"/>
      <c r="B37" s="95">
        <v>7</v>
      </c>
      <c r="C37" s="96">
        <v>10</v>
      </c>
      <c r="D37" s="98" t="s">
        <v>52</v>
      </c>
      <c r="E37" s="7" t="s">
        <v>53</v>
      </c>
      <c r="F37" s="7"/>
      <c r="G37" s="37">
        <v>10</v>
      </c>
      <c r="H37" s="92">
        <v>10</v>
      </c>
      <c r="I37" s="92">
        <v>10</v>
      </c>
      <c r="J37" s="92">
        <v>10</v>
      </c>
      <c r="K37" s="92">
        <v>10</v>
      </c>
      <c r="L37" s="92">
        <v>10</v>
      </c>
      <c r="M37" s="92">
        <v>10</v>
      </c>
      <c r="N37" s="3"/>
    </row>
    <row r="38" spans="1:14" s="1" customFormat="1" ht="14.25" x14ac:dyDescent="0.2">
      <c r="A38" s="101"/>
      <c r="B38" s="95"/>
      <c r="C38" s="97"/>
      <c r="D38" s="99"/>
      <c r="E38" s="28" t="s">
        <v>54</v>
      </c>
      <c r="F38" s="28"/>
      <c r="G38" s="37">
        <v>5</v>
      </c>
      <c r="H38" s="93"/>
      <c r="I38" s="93"/>
      <c r="J38" s="93"/>
      <c r="K38" s="93"/>
      <c r="L38" s="93"/>
      <c r="M38" s="93"/>
      <c r="N38" s="3"/>
    </row>
    <row r="39" spans="1:14" s="1" customFormat="1" ht="14.25" x14ac:dyDescent="0.2">
      <c r="A39" s="101"/>
      <c r="B39" s="95"/>
      <c r="C39" s="102"/>
      <c r="D39" s="103"/>
      <c r="E39" s="28" t="s">
        <v>55</v>
      </c>
      <c r="F39" s="28"/>
      <c r="G39" s="37">
        <v>0</v>
      </c>
      <c r="H39" s="94"/>
      <c r="I39" s="94"/>
      <c r="J39" s="94"/>
      <c r="K39" s="94"/>
      <c r="L39" s="94"/>
      <c r="M39" s="94"/>
      <c r="N39" s="3"/>
    </row>
    <row r="40" spans="1:14" s="1" customFormat="1" ht="14.25" x14ac:dyDescent="0.2">
      <c r="A40" s="101"/>
      <c r="B40" s="95">
        <v>8</v>
      </c>
      <c r="C40" s="96">
        <v>10</v>
      </c>
      <c r="D40" s="98" t="s">
        <v>56</v>
      </c>
      <c r="E40" s="28" t="s">
        <v>57</v>
      </c>
      <c r="F40" s="28"/>
      <c r="G40" s="37">
        <v>10</v>
      </c>
      <c r="H40" s="92">
        <v>10</v>
      </c>
      <c r="I40" s="92">
        <v>10</v>
      </c>
      <c r="J40" s="92">
        <v>10</v>
      </c>
      <c r="K40" s="92">
        <v>10</v>
      </c>
      <c r="L40" s="92">
        <v>10</v>
      </c>
      <c r="M40" s="92">
        <v>10</v>
      </c>
      <c r="N40" s="3"/>
    </row>
    <row r="41" spans="1:14" s="1" customFormat="1" ht="14.25" x14ac:dyDescent="0.2">
      <c r="A41" s="101"/>
      <c r="B41" s="95"/>
      <c r="C41" s="97"/>
      <c r="D41" s="99"/>
      <c r="E41" s="28" t="s">
        <v>58</v>
      </c>
      <c r="F41" s="28"/>
      <c r="G41" s="37">
        <v>5</v>
      </c>
      <c r="H41" s="93"/>
      <c r="I41" s="93"/>
      <c r="J41" s="93"/>
      <c r="K41" s="93"/>
      <c r="L41" s="93"/>
      <c r="M41" s="93"/>
      <c r="N41" s="3"/>
    </row>
    <row r="42" spans="1:14" s="1" customFormat="1" ht="14.25" x14ac:dyDescent="0.2">
      <c r="A42" s="101"/>
      <c r="B42" s="96"/>
      <c r="C42" s="97"/>
      <c r="D42" s="99"/>
      <c r="E42" s="28" t="s">
        <v>59</v>
      </c>
      <c r="F42" s="28"/>
      <c r="G42" s="37">
        <v>0</v>
      </c>
      <c r="H42" s="94"/>
      <c r="I42" s="94"/>
      <c r="J42" s="94"/>
      <c r="K42" s="94"/>
      <c r="L42" s="94"/>
      <c r="M42" s="94"/>
      <c r="N42" s="3"/>
    </row>
    <row r="43" spans="1:14" s="1" customFormat="1" ht="15" customHeight="1" x14ac:dyDescent="0.25">
      <c r="A43" s="88" t="s">
        <v>60</v>
      </c>
      <c r="B43" s="89"/>
      <c r="C43" s="89"/>
      <c r="D43" s="89"/>
      <c r="E43" s="89"/>
      <c r="F43" s="89"/>
      <c r="G43" s="89"/>
      <c r="H43" s="41">
        <f t="shared" ref="H43:M43" si="0">SUM(H19:H42)</f>
        <v>100</v>
      </c>
      <c r="I43" s="41">
        <f t="shared" si="0"/>
        <v>85</v>
      </c>
      <c r="J43" s="41">
        <f t="shared" si="0"/>
        <v>100</v>
      </c>
      <c r="K43" s="41">
        <f t="shared" si="0"/>
        <v>100</v>
      </c>
      <c r="L43" s="41">
        <f t="shared" si="0"/>
        <v>100</v>
      </c>
      <c r="M43" s="41">
        <f t="shared" si="0"/>
        <v>90</v>
      </c>
    </row>
    <row r="44" spans="1:14" s="1" customFormat="1" ht="15" customHeight="1" x14ac:dyDescent="0.25">
      <c r="A44" s="88" t="s">
        <v>61</v>
      </c>
      <c r="B44" s="89"/>
      <c r="C44" s="89"/>
      <c r="D44" s="89"/>
      <c r="E44" s="89"/>
      <c r="F44" s="89"/>
      <c r="G44" s="89"/>
      <c r="H44" s="41"/>
      <c r="I44" s="41"/>
      <c r="J44" s="41"/>
      <c r="K44" s="41"/>
      <c r="L44" s="41"/>
      <c r="M44" s="41"/>
    </row>
    <row r="45" spans="1:14" s="1" customFormat="1" ht="15" customHeight="1" x14ac:dyDescent="0.2">
      <c r="A45" s="90" t="s">
        <v>121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4" s="1" customFormat="1" ht="15" customHeight="1" x14ac:dyDescent="0.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14" s="1" customFormat="1" ht="13.9" customHeight="1" x14ac:dyDescent="0.2">
      <c r="A47" s="84" t="s">
        <v>96</v>
      </c>
      <c r="B47" s="85"/>
      <c r="C47" s="59"/>
      <c r="E47" s="29"/>
      <c r="F47" s="30"/>
      <c r="G47" s="31"/>
      <c r="H47" s="36"/>
      <c r="I47" s="36"/>
      <c r="J47" s="36"/>
      <c r="K47" s="36"/>
      <c r="L47" s="36"/>
      <c r="M47" s="36"/>
    </row>
    <row r="48" spans="1:14" s="1" customFormat="1" ht="14.45" customHeight="1" x14ac:dyDescent="0.2">
      <c r="A48" s="86"/>
      <c r="B48" s="87"/>
      <c r="C48" s="59"/>
      <c r="E48" s="29"/>
      <c r="F48" s="30"/>
      <c r="G48" s="31"/>
      <c r="H48" s="36"/>
      <c r="I48" s="36"/>
      <c r="J48" s="36"/>
      <c r="K48" s="36"/>
      <c r="L48" s="36"/>
      <c r="M48" s="36"/>
    </row>
    <row r="49" spans="1:13" s="1" customFormat="1" ht="15" customHeight="1" x14ac:dyDescent="0.2">
      <c r="A49" s="86"/>
      <c r="B49" s="87"/>
      <c r="C49" s="59"/>
      <c r="D49" s="57"/>
      <c r="E49" s="52" t="s">
        <v>77</v>
      </c>
      <c r="F49" s="54"/>
      <c r="G49" s="55"/>
      <c r="H49" s="56"/>
      <c r="I49" s="56"/>
      <c r="J49" s="56"/>
      <c r="K49" s="56"/>
      <c r="L49" s="56"/>
      <c r="M49" s="56"/>
    </row>
    <row r="50" spans="1:13" x14ac:dyDescent="0.25">
      <c r="A50" s="86"/>
      <c r="B50" s="87"/>
      <c r="C50" s="62">
        <v>1</v>
      </c>
      <c r="D50" s="67">
        <v>15</v>
      </c>
      <c r="E50" s="66" t="s">
        <v>80</v>
      </c>
      <c r="F50" s="46" t="s">
        <v>102</v>
      </c>
      <c r="G50" s="46">
        <v>5</v>
      </c>
      <c r="H50" s="66">
        <v>5</v>
      </c>
      <c r="I50" s="66">
        <v>5</v>
      </c>
      <c r="J50" s="66">
        <v>5</v>
      </c>
      <c r="K50" s="66">
        <v>5</v>
      </c>
      <c r="L50" s="66">
        <v>5</v>
      </c>
      <c r="M50" s="66">
        <v>5</v>
      </c>
    </row>
    <row r="51" spans="1:13" x14ac:dyDescent="0.25">
      <c r="A51" s="86"/>
      <c r="B51" s="87"/>
      <c r="C51" s="62"/>
      <c r="D51" s="67"/>
      <c r="E51" s="68"/>
      <c r="F51" s="46" t="s">
        <v>103</v>
      </c>
      <c r="G51" s="46">
        <v>0</v>
      </c>
      <c r="H51" s="67"/>
      <c r="I51" s="67"/>
      <c r="J51" s="67"/>
      <c r="K51" s="67"/>
      <c r="L51" s="67"/>
      <c r="M51" s="67"/>
    </row>
    <row r="52" spans="1:13" x14ac:dyDescent="0.25">
      <c r="A52" s="86"/>
      <c r="B52" s="87"/>
      <c r="C52" s="62">
        <v>2</v>
      </c>
      <c r="D52" s="67"/>
      <c r="E52" s="66" t="s">
        <v>78</v>
      </c>
      <c r="F52" s="46" t="s">
        <v>104</v>
      </c>
      <c r="G52" s="46">
        <v>5</v>
      </c>
      <c r="H52" s="66">
        <v>5</v>
      </c>
      <c r="I52" s="66">
        <v>5</v>
      </c>
      <c r="J52" s="66">
        <v>5</v>
      </c>
      <c r="K52" s="66">
        <v>5</v>
      </c>
      <c r="L52" s="66">
        <v>5</v>
      </c>
      <c r="M52" s="66">
        <v>5</v>
      </c>
    </row>
    <row r="53" spans="1:13" x14ac:dyDescent="0.25">
      <c r="A53" s="86"/>
      <c r="B53" s="87"/>
      <c r="C53" s="62"/>
      <c r="D53" s="67"/>
      <c r="E53" s="68"/>
      <c r="F53" s="46" t="s">
        <v>105</v>
      </c>
      <c r="G53" s="46">
        <v>0</v>
      </c>
      <c r="H53" s="67"/>
      <c r="I53" s="67"/>
      <c r="J53" s="67"/>
      <c r="K53" s="67"/>
      <c r="L53" s="67"/>
      <c r="M53" s="67"/>
    </row>
    <row r="54" spans="1:13" x14ac:dyDescent="0.25">
      <c r="A54" s="86"/>
      <c r="B54" s="87"/>
      <c r="C54" s="62">
        <v>3</v>
      </c>
      <c r="D54" s="67"/>
      <c r="E54" s="66" t="s">
        <v>79</v>
      </c>
      <c r="F54" s="46" t="s">
        <v>106</v>
      </c>
      <c r="G54" s="46">
        <v>5</v>
      </c>
      <c r="H54" s="66">
        <v>5</v>
      </c>
      <c r="I54" s="66">
        <v>5</v>
      </c>
      <c r="J54" s="66">
        <v>5</v>
      </c>
      <c r="K54" s="66">
        <v>5</v>
      </c>
      <c r="L54" s="66">
        <v>5</v>
      </c>
      <c r="M54" s="66">
        <v>5</v>
      </c>
    </row>
    <row r="55" spans="1:13" x14ac:dyDescent="0.25">
      <c r="A55" s="86"/>
      <c r="B55" s="87"/>
      <c r="C55" s="62"/>
      <c r="D55" s="67"/>
      <c r="E55" s="67"/>
      <c r="F55" s="46" t="s">
        <v>107</v>
      </c>
      <c r="G55" s="46">
        <v>2.5</v>
      </c>
      <c r="H55" s="67"/>
      <c r="I55" s="67"/>
      <c r="J55" s="67"/>
      <c r="K55" s="67"/>
      <c r="L55" s="67"/>
      <c r="M55" s="67"/>
    </row>
    <row r="56" spans="1:13" x14ac:dyDescent="0.25">
      <c r="A56" s="86"/>
      <c r="B56" s="87"/>
      <c r="C56" s="62"/>
      <c r="D56" s="67"/>
      <c r="E56" s="68"/>
      <c r="F56" s="46" t="s">
        <v>108</v>
      </c>
      <c r="G56" s="46">
        <v>0</v>
      </c>
      <c r="H56" s="67"/>
      <c r="I56" s="67"/>
      <c r="J56" s="67"/>
      <c r="K56" s="67"/>
      <c r="L56" s="67"/>
      <c r="M56" s="67"/>
    </row>
    <row r="57" spans="1:13" x14ac:dyDescent="0.25">
      <c r="A57" s="86"/>
      <c r="B57" s="87"/>
      <c r="C57" s="59"/>
      <c r="D57" s="58"/>
      <c r="E57" s="52" t="s">
        <v>82</v>
      </c>
      <c r="F57" s="50"/>
      <c r="G57" s="50"/>
      <c r="H57" s="51"/>
      <c r="I57" s="51"/>
      <c r="J57" s="51"/>
      <c r="K57" s="51"/>
      <c r="L57" s="51"/>
      <c r="M57" s="51"/>
    </row>
    <row r="58" spans="1:13" x14ac:dyDescent="0.25">
      <c r="A58" s="86"/>
      <c r="B58" s="87"/>
      <c r="C58" s="62">
        <v>4</v>
      </c>
      <c r="D58" s="67">
        <v>65</v>
      </c>
      <c r="E58" s="69" t="s">
        <v>113</v>
      </c>
      <c r="F58" s="46" t="s">
        <v>89</v>
      </c>
      <c r="G58" s="46">
        <v>10</v>
      </c>
      <c r="H58" s="66">
        <v>4</v>
      </c>
      <c r="I58" s="66">
        <v>5</v>
      </c>
      <c r="J58" s="66">
        <v>5</v>
      </c>
      <c r="K58" s="66">
        <v>5</v>
      </c>
      <c r="L58" s="66">
        <v>5</v>
      </c>
      <c r="M58" s="66">
        <v>5</v>
      </c>
    </row>
    <row r="59" spans="1:13" x14ac:dyDescent="0.25">
      <c r="A59" s="86"/>
      <c r="B59" s="87"/>
      <c r="C59" s="62"/>
      <c r="D59" s="67"/>
      <c r="E59" s="69"/>
      <c r="F59" s="46" t="s">
        <v>90</v>
      </c>
      <c r="G59" s="46">
        <v>5</v>
      </c>
      <c r="H59" s="67"/>
      <c r="I59" s="67"/>
      <c r="J59" s="67"/>
      <c r="K59" s="67"/>
      <c r="L59" s="67"/>
      <c r="M59" s="67"/>
    </row>
    <row r="60" spans="1:13" x14ac:dyDescent="0.25">
      <c r="A60" s="86"/>
      <c r="B60" s="87"/>
      <c r="C60" s="62"/>
      <c r="D60" s="67"/>
      <c r="E60" s="69"/>
      <c r="F60" s="46" t="s">
        <v>91</v>
      </c>
      <c r="G60" s="46">
        <v>4</v>
      </c>
      <c r="H60" s="67"/>
      <c r="I60" s="67"/>
      <c r="J60" s="67"/>
      <c r="K60" s="67"/>
      <c r="L60" s="67"/>
      <c r="M60" s="67"/>
    </row>
    <row r="61" spans="1:13" x14ac:dyDescent="0.25">
      <c r="A61" s="86"/>
      <c r="B61" s="87"/>
      <c r="C61" s="62"/>
      <c r="D61" s="67"/>
      <c r="E61" s="69"/>
      <c r="F61" s="46" t="s">
        <v>92</v>
      </c>
      <c r="G61" s="46">
        <v>3</v>
      </c>
      <c r="H61" s="67"/>
      <c r="I61" s="67"/>
      <c r="J61" s="67"/>
      <c r="K61" s="67"/>
      <c r="L61" s="67"/>
      <c r="M61" s="67"/>
    </row>
    <row r="62" spans="1:13" x14ac:dyDescent="0.25">
      <c r="A62" s="86"/>
      <c r="B62" s="87"/>
      <c r="C62" s="62"/>
      <c r="D62" s="67"/>
      <c r="E62" s="69"/>
      <c r="F62" s="46" t="s">
        <v>93</v>
      </c>
      <c r="G62" s="46">
        <v>2</v>
      </c>
      <c r="H62" s="67"/>
      <c r="I62" s="67"/>
      <c r="J62" s="67"/>
      <c r="K62" s="67"/>
      <c r="L62" s="67"/>
      <c r="M62" s="67"/>
    </row>
    <row r="63" spans="1:13" x14ac:dyDescent="0.25">
      <c r="A63" s="86"/>
      <c r="B63" s="87"/>
      <c r="C63" s="62"/>
      <c r="D63" s="67"/>
      <c r="E63" s="69"/>
      <c r="F63" s="46" t="s">
        <v>94</v>
      </c>
      <c r="G63" s="46">
        <v>1</v>
      </c>
      <c r="H63" s="68"/>
      <c r="I63" s="68"/>
      <c r="J63" s="68"/>
      <c r="K63" s="68"/>
      <c r="L63" s="68"/>
      <c r="M63" s="68"/>
    </row>
    <row r="64" spans="1:13" x14ac:dyDescent="0.25">
      <c r="A64" s="86"/>
      <c r="B64" s="87"/>
      <c r="C64" s="62">
        <v>5</v>
      </c>
      <c r="D64" s="67"/>
      <c r="E64" s="69" t="s">
        <v>114</v>
      </c>
      <c r="F64" s="46" t="s">
        <v>89</v>
      </c>
      <c r="G64" s="46">
        <v>5</v>
      </c>
      <c r="H64" s="66">
        <v>4</v>
      </c>
      <c r="I64" s="66">
        <v>4</v>
      </c>
      <c r="J64" s="66">
        <v>4</v>
      </c>
      <c r="K64" s="66">
        <v>4</v>
      </c>
      <c r="L64" s="66">
        <v>4</v>
      </c>
      <c r="M64" s="66">
        <v>4</v>
      </c>
    </row>
    <row r="65" spans="1:13" x14ac:dyDescent="0.25">
      <c r="A65" s="86"/>
      <c r="B65" s="87"/>
      <c r="C65" s="62"/>
      <c r="D65" s="67"/>
      <c r="E65" s="69"/>
      <c r="F65" s="46" t="s">
        <v>90</v>
      </c>
      <c r="G65" s="46">
        <v>4</v>
      </c>
      <c r="H65" s="67"/>
      <c r="I65" s="67"/>
      <c r="J65" s="67"/>
      <c r="K65" s="67"/>
      <c r="L65" s="67"/>
      <c r="M65" s="67"/>
    </row>
    <row r="66" spans="1:13" x14ac:dyDescent="0.25">
      <c r="A66" s="86"/>
      <c r="B66" s="87"/>
      <c r="C66" s="62"/>
      <c r="D66" s="67"/>
      <c r="E66" s="69"/>
      <c r="F66" s="46" t="s">
        <v>91</v>
      </c>
      <c r="G66" s="46">
        <v>3</v>
      </c>
      <c r="H66" s="67"/>
      <c r="I66" s="67"/>
      <c r="J66" s="67"/>
      <c r="K66" s="67"/>
      <c r="L66" s="67"/>
      <c r="M66" s="67"/>
    </row>
    <row r="67" spans="1:13" x14ac:dyDescent="0.25">
      <c r="A67" s="86"/>
      <c r="B67" s="87"/>
      <c r="C67" s="62"/>
      <c r="D67" s="67"/>
      <c r="E67" s="69"/>
      <c r="F67" s="46" t="s">
        <v>92</v>
      </c>
      <c r="G67" s="46">
        <v>2</v>
      </c>
      <c r="H67" s="67"/>
      <c r="I67" s="67"/>
      <c r="J67" s="67"/>
      <c r="K67" s="67"/>
      <c r="L67" s="67"/>
      <c r="M67" s="67"/>
    </row>
    <row r="68" spans="1:13" x14ac:dyDescent="0.25">
      <c r="A68" s="86"/>
      <c r="B68" s="87"/>
      <c r="C68" s="62"/>
      <c r="D68" s="67"/>
      <c r="E68" s="69"/>
      <c r="F68" s="46" t="s">
        <v>93</v>
      </c>
      <c r="G68" s="46">
        <v>1</v>
      </c>
      <c r="H68" s="67"/>
      <c r="I68" s="67"/>
      <c r="J68" s="67"/>
      <c r="K68" s="67"/>
      <c r="L68" s="67"/>
      <c r="M68" s="67"/>
    </row>
    <row r="69" spans="1:13" x14ac:dyDescent="0.25">
      <c r="A69" s="86"/>
      <c r="B69" s="87"/>
      <c r="C69" s="62"/>
      <c r="D69" s="67"/>
      <c r="E69" s="69"/>
      <c r="F69" s="46" t="s">
        <v>94</v>
      </c>
      <c r="G69" s="46">
        <v>0</v>
      </c>
      <c r="H69" s="68"/>
      <c r="I69" s="68"/>
      <c r="J69" s="68"/>
      <c r="K69" s="68"/>
      <c r="L69" s="68"/>
      <c r="M69" s="68"/>
    </row>
    <row r="70" spans="1:13" x14ac:dyDescent="0.25">
      <c r="A70" s="86"/>
      <c r="B70" s="87"/>
      <c r="C70" s="62">
        <v>6</v>
      </c>
      <c r="D70" s="67"/>
      <c r="E70" s="69" t="s">
        <v>122</v>
      </c>
      <c r="F70" s="46" t="s">
        <v>89</v>
      </c>
      <c r="G70" s="46">
        <v>5</v>
      </c>
      <c r="H70" s="66">
        <v>4</v>
      </c>
      <c r="I70" s="66">
        <v>4</v>
      </c>
      <c r="J70" s="66">
        <v>4</v>
      </c>
      <c r="K70" s="66">
        <v>4</v>
      </c>
      <c r="L70" s="66">
        <v>4</v>
      </c>
      <c r="M70" s="66">
        <v>4</v>
      </c>
    </row>
    <row r="71" spans="1:13" x14ac:dyDescent="0.25">
      <c r="A71" s="86"/>
      <c r="B71" s="87"/>
      <c r="C71" s="62"/>
      <c r="D71" s="67"/>
      <c r="E71" s="69"/>
      <c r="F71" s="46" t="s">
        <v>90</v>
      </c>
      <c r="G71" s="46">
        <v>4</v>
      </c>
      <c r="H71" s="67"/>
      <c r="I71" s="67"/>
      <c r="J71" s="67"/>
      <c r="K71" s="67"/>
      <c r="L71" s="67"/>
      <c r="M71" s="67"/>
    </row>
    <row r="72" spans="1:13" x14ac:dyDescent="0.25">
      <c r="A72" s="86"/>
      <c r="B72" s="87"/>
      <c r="C72" s="62"/>
      <c r="D72" s="67"/>
      <c r="E72" s="69"/>
      <c r="F72" s="46" t="s">
        <v>91</v>
      </c>
      <c r="G72" s="46">
        <v>3</v>
      </c>
      <c r="H72" s="67"/>
      <c r="I72" s="67"/>
      <c r="J72" s="67"/>
      <c r="K72" s="67"/>
      <c r="L72" s="67"/>
      <c r="M72" s="67"/>
    </row>
    <row r="73" spans="1:13" x14ac:dyDescent="0.25">
      <c r="A73" s="86"/>
      <c r="B73" s="87"/>
      <c r="C73" s="62"/>
      <c r="D73" s="67"/>
      <c r="E73" s="69"/>
      <c r="F73" s="46" t="s">
        <v>92</v>
      </c>
      <c r="G73" s="46">
        <v>2</v>
      </c>
      <c r="H73" s="67"/>
      <c r="I73" s="67"/>
      <c r="J73" s="67"/>
      <c r="K73" s="67"/>
      <c r="L73" s="67"/>
      <c r="M73" s="67"/>
    </row>
    <row r="74" spans="1:13" x14ac:dyDescent="0.25">
      <c r="A74" s="86"/>
      <c r="B74" s="87"/>
      <c r="C74" s="62"/>
      <c r="D74" s="67"/>
      <c r="E74" s="69"/>
      <c r="F74" s="46" t="s">
        <v>93</v>
      </c>
      <c r="G74" s="46">
        <v>1</v>
      </c>
      <c r="H74" s="67"/>
      <c r="I74" s="67"/>
      <c r="J74" s="67"/>
      <c r="K74" s="67"/>
      <c r="L74" s="67"/>
      <c r="M74" s="67"/>
    </row>
    <row r="75" spans="1:13" x14ac:dyDescent="0.25">
      <c r="A75" s="86"/>
      <c r="B75" s="87"/>
      <c r="C75" s="62"/>
      <c r="D75" s="67"/>
      <c r="E75" s="69"/>
      <c r="F75" s="46" t="s">
        <v>94</v>
      </c>
      <c r="G75" s="46">
        <v>0</v>
      </c>
      <c r="H75" s="68"/>
      <c r="I75" s="68"/>
      <c r="J75" s="68"/>
      <c r="K75" s="68"/>
      <c r="L75" s="68"/>
      <c r="M75" s="68"/>
    </row>
    <row r="76" spans="1:13" x14ac:dyDescent="0.25">
      <c r="A76" s="86"/>
      <c r="B76" s="87"/>
      <c r="C76" s="62">
        <v>7</v>
      </c>
      <c r="D76" s="67"/>
      <c r="E76" s="69" t="s">
        <v>81</v>
      </c>
      <c r="F76" s="46" t="s">
        <v>89</v>
      </c>
      <c r="G76" s="46">
        <v>5</v>
      </c>
      <c r="H76" s="66">
        <v>4</v>
      </c>
      <c r="I76" s="66">
        <v>4</v>
      </c>
      <c r="J76" s="66">
        <v>4</v>
      </c>
      <c r="K76" s="66">
        <v>4</v>
      </c>
      <c r="L76" s="66">
        <v>4</v>
      </c>
      <c r="M76" s="66">
        <v>4</v>
      </c>
    </row>
    <row r="77" spans="1:13" x14ac:dyDescent="0.25">
      <c r="A77" s="86"/>
      <c r="B77" s="87"/>
      <c r="C77" s="62"/>
      <c r="D77" s="67"/>
      <c r="E77" s="69"/>
      <c r="F77" s="46" t="s">
        <v>90</v>
      </c>
      <c r="G77" s="46">
        <v>4</v>
      </c>
      <c r="H77" s="67"/>
      <c r="I77" s="67"/>
      <c r="J77" s="67"/>
      <c r="K77" s="67"/>
      <c r="L77" s="67"/>
      <c r="M77" s="67"/>
    </row>
    <row r="78" spans="1:13" x14ac:dyDescent="0.25">
      <c r="A78" s="86"/>
      <c r="B78" s="87"/>
      <c r="C78" s="62"/>
      <c r="D78" s="67"/>
      <c r="E78" s="69"/>
      <c r="F78" s="46" t="s">
        <v>91</v>
      </c>
      <c r="G78" s="46">
        <v>3</v>
      </c>
      <c r="H78" s="67"/>
      <c r="I78" s="67"/>
      <c r="J78" s="67"/>
      <c r="K78" s="67"/>
      <c r="L78" s="67"/>
      <c r="M78" s="67"/>
    </row>
    <row r="79" spans="1:13" x14ac:dyDescent="0.25">
      <c r="A79" s="86"/>
      <c r="B79" s="87"/>
      <c r="C79" s="62"/>
      <c r="D79" s="67"/>
      <c r="E79" s="69"/>
      <c r="F79" s="46" t="s">
        <v>92</v>
      </c>
      <c r="G79" s="46">
        <v>2</v>
      </c>
      <c r="H79" s="67"/>
      <c r="I79" s="67"/>
      <c r="J79" s="67"/>
      <c r="K79" s="67"/>
      <c r="L79" s="67"/>
      <c r="M79" s="67"/>
    </row>
    <row r="80" spans="1:13" x14ac:dyDescent="0.25">
      <c r="A80" s="86"/>
      <c r="B80" s="87"/>
      <c r="C80" s="62"/>
      <c r="D80" s="67"/>
      <c r="E80" s="69"/>
      <c r="F80" s="46" t="s">
        <v>93</v>
      </c>
      <c r="G80" s="46">
        <v>1</v>
      </c>
      <c r="H80" s="67"/>
      <c r="I80" s="67"/>
      <c r="J80" s="67"/>
      <c r="K80" s="67"/>
      <c r="L80" s="67"/>
      <c r="M80" s="67"/>
    </row>
    <row r="81" spans="1:13" x14ac:dyDescent="0.25">
      <c r="A81" s="86"/>
      <c r="B81" s="87"/>
      <c r="C81" s="62"/>
      <c r="D81" s="67"/>
      <c r="E81" s="69"/>
      <c r="F81" s="46" t="s">
        <v>94</v>
      </c>
      <c r="G81" s="46">
        <v>0</v>
      </c>
      <c r="H81" s="68"/>
      <c r="I81" s="68"/>
      <c r="J81" s="68"/>
      <c r="K81" s="68"/>
      <c r="L81" s="68"/>
      <c r="M81" s="68"/>
    </row>
    <row r="82" spans="1:13" x14ac:dyDescent="0.25">
      <c r="A82" s="86"/>
      <c r="B82" s="87"/>
      <c r="C82" s="62">
        <v>8</v>
      </c>
      <c r="D82" s="67"/>
      <c r="E82" s="69" t="s">
        <v>123</v>
      </c>
      <c r="F82" s="46" t="s">
        <v>89</v>
      </c>
      <c r="G82" s="46">
        <v>5</v>
      </c>
      <c r="H82" s="66">
        <v>4</v>
      </c>
      <c r="I82" s="66">
        <v>4</v>
      </c>
      <c r="J82" s="66">
        <v>4</v>
      </c>
      <c r="K82" s="66">
        <v>4</v>
      </c>
      <c r="L82" s="66">
        <v>4</v>
      </c>
      <c r="M82" s="66">
        <v>4</v>
      </c>
    </row>
    <row r="83" spans="1:13" x14ac:dyDescent="0.25">
      <c r="A83" s="86"/>
      <c r="B83" s="87"/>
      <c r="C83" s="62"/>
      <c r="D83" s="67"/>
      <c r="E83" s="69"/>
      <c r="F83" s="46" t="s">
        <v>90</v>
      </c>
      <c r="G83" s="46">
        <v>4</v>
      </c>
      <c r="H83" s="67"/>
      <c r="I83" s="67"/>
      <c r="J83" s="67"/>
      <c r="K83" s="67"/>
      <c r="L83" s="67"/>
      <c r="M83" s="67"/>
    </row>
    <row r="84" spans="1:13" x14ac:dyDescent="0.25">
      <c r="A84" s="86"/>
      <c r="B84" s="87"/>
      <c r="C84" s="62"/>
      <c r="D84" s="67"/>
      <c r="E84" s="69"/>
      <c r="F84" s="46" t="s">
        <v>91</v>
      </c>
      <c r="G84" s="46">
        <v>3</v>
      </c>
      <c r="H84" s="67"/>
      <c r="I84" s="67"/>
      <c r="J84" s="67"/>
      <c r="K84" s="67"/>
      <c r="L84" s="67"/>
      <c r="M84" s="67"/>
    </row>
    <row r="85" spans="1:13" x14ac:dyDescent="0.25">
      <c r="A85" s="86"/>
      <c r="B85" s="87"/>
      <c r="C85" s="62"/>
      <c r="D85" s="67"/>
      <c r="E85" s="69"/>
      <c r="F85" s="46" t="s">
        <v>92</v>
      </c>
      <c r="G85" s="46">
        <v>2</v>
      </c>
      <c r="H85" s="67"/>
      <c r="I85" s="67"/>
      <c r="J85" s="67"/>
      <c r="K85" s="67"/>
      <c r="L85" s="67"/>
      <c r="M85" s="67"/>
    </row>
    <row r="86" spans="1:13" x14ac:dyDescent="0.25">
      <c r="A86" s="86"/>
      <c r="B86" s="87"/>
      <c r="C86" s="62"/>
      <c r="D86" s="67"/>
      <c r="E86" s="69"/>
      <c r="F86" s="46" t="s">
        <v>93</v>
      </c>
      <c r="G86" s="46">
        <v>1</v>
      </c>
      <c r="H86" s="67"/>
      <c r="I86" s="67"/>
      <c r="J86" s="67"/>
      <c r="K86" s="67"/>
      <c r="L86" s="67"/>
      <c r="M86" s="67"/>
    </row>
    <row r="87" spans="1:13" x14ac:dyDescent="0.25">
      <c r="A87" s="86"/>
      <c r="B87" s="87"/>
      <c r="C87" s="62"/>
      <c r="D87" s="67"/>
      <c r="E87" s="69"/>
      <c r="F87" s="46" t="s">
        <v>94</v>
      </c>
      <c r="G87" s="46">
        <v>0</v>
      </c>
      <c r="H87" s="68"/>
      <c r="I87" s="68"/>
      <c r="J87" s="68"/>
      <c r="K87" s="68"/>
      <c r="L87" s="68"/>
      <c r="M87" s="68"/>
    </row>
    <row r="88" spans="1:13" x14ac:dyDescent="0.25">
      <c r="A88" s="86"/>
      <c r="B88" s="87"/>
      <c r="C88" s="62">
        <v>9</v>
      </c>
      <c r="D88" s="67"/>
      <c r="E88" s="69" t="s">
        <v>109</v>
      </c>
      <c r="F88" s="46" t="s">
        <v>89</v>
      </c>
      <c r="G88" s="46">
        <v>5</v>
      </c>
      <c r="H88" s="66">
        <v>3</v>
      </c>
      <c r="I88" s="66">
        <v>3</v>
      </c>
      <c r="J88" s="66">
        <v>4</v>
      </c>
      <c r="K88" s="66">
        <v>4</v>
      </c>
      <c r="L88" s="66">
        <v>4</v>
      </c>
      <c r="M88" s="66">
        <v>4</v>
      </c>
    </row>
    <row r="89" spans="1:13" x14ac:dyDescent="0.25">
      <c r="A89" s="86"/>
      <c r="B89" s="87"/>
      <c r="C89" s="62"/>
      <c r="D89" s="67"/>
      <c r="E89" s="69"/>
      <c r="F89" s="46" t="s">
        <v>90</v>
      </c>
      <c r="G89" s="46">
        <v>4</v>
      </c>
      <c r="H89" s="67"/>
      <c r="I89" s="67"/>
      <c r="J89" s="67"/>
      <c r="K89" s="67"/>
      <c r="L89" s="67"/>
      <c r="M89" s="67"/>
    </row>
    <row r="90" spans="1:13" x14ac:dyDescent="0.25">
      <c r="A90" s="86"/>
      <c r="B90" s="87"/>
      <c r="C90" s="62"/>
      <c r="D90" s="67"/>
      <c r="E90" s="69"/>
      <c r="F90" s="46" t="s">
        <v>91</v>
      </c>
      <c r="G90" s="46">
        <v>3</v>
      </c>
      <c r="H90" s="67"/>
      <c r="I90" s="67"/>
      <c r="J90" s="67"/>
      <c r="K90" s="67"/>
      <c r="L90" s="67"/>
      <c r="M90" s="67"/>
    </row>
    <row r="91" spans="1:13" x14ac:dyDescent="0.25">
      <c r="A91" s="86"/>
      <c r="B91" s="87"/>
      <c r="C91" s="62"/>
      <c r="D91" s="67"/>
      <c r="E91" s="69"/>
      <c r="F91" s="46" t="s">
        <v>92</v>
      </c>
      <c r="G91" s="46">
        <v>2</v>
      </c>
      <c r="H91" s="67"/>
      <c r="I91" s="67"/>
      <c r="J91" s="67"/>
      <c r="K91" s="67"/>
      <c r="L91" s="67"/>
      <c r="M91" s="67"/>
    </row>
    <row r="92" spans="1:13" x14ac:dyDescent="0.25">
      <c r="A92" s="86"/>
      <c r="B92" s="87"/>
      <c r="C92" s="62"/>
      <c r="D92" s="67"/>
      <c r="E92" s="69"/>
      <c r="F92" s="46" t="s">
        <v>93</v>
      </c>
      <c r="G92" s="46">
        <v>1</v>
      </c>
      <c r="H92" s="67"/>
      <c r="I92" s="67"/>
      <c r="J92" s="67"/>
      <c r="K92" s="67"/>
      <c r="L92" s="67"/>
      <c r="M92" s="67"/>
    </row>
    <row r="93" spans="1:13" x14ac:dyDescent="0.25">
      <c r="A93" s="86"/>
      <c r="B93" s="87"/>
      <c r="C93" s="62"/>
      <c r="D93" s="67"/>
      <c r="E93" s="69"/>
      <c r="F93" s="46" t="s">
        <v>94</v>
      </c>
      <c r="G93" s="46">
        <v>0</v>
      </c>
      <c r="H93" s="68"/>
      <c r="I93" s="68"/>
      <c r="J93" s="68"/>
      <c r="K93" s="68"/>
      <c r="L93" s="68"/>
      <c r="M93" s="68"/>
    </row>
    <row r="94" spans="1:13" x14ac:dyDescent="0.25">
      <c r="A94" s="86"/>
      <c r="B94" s="87"/>
      <c r="C94" s="62">
        <v>10</v>
      </c>
      <c r="D94" s="67"/>
      <c r="E94" s="76" t="s">
        <v>88</v>
      </c>
      <c r="F94" s="46" t="s">
        <v>89</v>
      </c>
      <c r="G94" s="46">
        <v>5</v>
      </c>
      <c r="H94" s="66">
        <v>3</v>
      </c>
      <c r="I94" s="66">
        <v>3</v>
      </c>
      <c r="J94" s="66">
        <v>4</v>
      </c>
      <c r="K94" s="66">
        <v>4</v>
      </c>
      <c r="L94" s="66">
        <v>4</v>
      </c>
      <c r="M94" s="66">
        <v>4</v>
      </c>
    </row>
    <row r="95" spans="1:13" x14ac:dyDescent="0.25">
      <c r="A95" s="86"/>
      <c r="B95" s="87"/>
      <c r="C95" s="62"/>
      <c r="D95" s="67"/>
      <c r="E95" s="76"/>
      <c r="F95" s="46" t="s">
        <v>90</v>
      </c>
      <c r="G95" s="46">
        <v>4</v>
      </c>
      <c r="H95" s="67"/>
      <c r="I95" s="67"/>
      <c r="J95" s="67"/>
      <c r="K95" s="67"/>
      <c r="L95" s="67"/>
      <c r="M95" s="67"/>
    </row>
    <row r="96" spans="1:13" x14ac:dyDescent="0.25">
      <c r="A96" s="86"/>
      <c r="B96" s="87"/>
      <c r="C96" s="62"/>
      <c r="D96" s="67"/>
      <c r="E96" s="76"/>
      <c r="F96" s="46" t="s">
        <v>91</v>
      </c>
      <c r="G96" s="46">
        <v>3</v>
      </c>
      <c r="H96" s="67"/>
      <c r="I96" s="67"/>
      <c r="J96" s="67"/>
      <c r="K96" s="67"/>
      <c r="L96" s="67"/>
      <c r="M96" s="67"/>
    </row>
    <row r="97" spans="1:19" x14ac:dyDescent="0.25">
      <c r="A97" s="86"/>
      <c r="B97" s="87"/>
      <c r="C97" s="62"/>
      <c r="D97" s="67"/>
      <c r="E97" s="76"/>
      <c r="F97" s="46" t="s">
        <v>92</v>
      </c>
      <c r="G97" s="46">
        <v>2</v>
      </c>
      <c r="H97" s="67"/>
      <c r="I97" s="67"/>
      <c r="J97" s="67"/>
      <c r="K97" s="67"/>
      <c r="L97" s="67"/>
      <c r="M97" s="67"/>
    </row>
    <row r="98" spans="1:19" x14ac:dyDescent="0.25">
      <c r="A98" s="86"/>
      <c r="B98" s="87"/>
      <c r="C98" s="62"/>
      <c r="D98" s="67"/>
      <c r="E98" s="76"/>
      <c r="F98" s="46" t="s">
        <v>93</v>
      </c>
      <c r="G98" s="46">
        <v>1</v>
      </c>
      <c r="H98" s="67"/>
      <c r="I98" s="67"/>
      <c r="J98" s="67"/>
      <c r="K98" s="67"/>
      <c r="L98" s="67"/>
      <c r="M98" s="67"/>
    </row>
    <row r="99" spans="1:19" x14ac:dyDescent="0.25">
      <c r="A99" s="86"/>
      <c r="B99" s="87"/>
      <c r="C99" s="62"/>
      <c r="D99" s="67"/>
      <c r="E99" s="76"/>
      <c r="F99" s="46" t="s">
        <v>94</v>
      </c>
      <c r="G99" s="46">
        <v>0</v>
      </c>
      <c r="H99" s="68"/>
      <c r="I99" s="68"/>
      <c r="J99" s="68"/>
      <c r="K99" s="68"/>
      <c r="L99" s="68"/>
      <c r="M99" s="68"/>
    </row>
    <row r="100" spans="1:19" x14ac:dyDescent="0.25">
      <c r="A100" s="86"/>
      <c r="B100" s="87"/>
      <c r="C100" s="62">
        <v>11</v>
      </c>
      <c r="D100" s="67"/>
      <c r="E100" s="69" t="s">
        <v>112</v>
      </c>
      <c r="F100" s="46" t="s">
        <v>89</v>
      </c>
      <c r="G100" s="46">
        <v>5</v>
      </c>
      <c r="H100" s="66">
        <v>4</v>
      </c>
      <c r="I100" s="66">
        <v>4</v>
      </c>
      <c r="J100" s="66">
        <v>4</v>
      </c>
      <c r="K100" s="66">
        <v>4</v>
      </c>
      <c r="L100" s="66">
        <v>4</v>
      </c>
      <c r="M100" s="66">
        <v>4</v>
      </c>
    </row>
    <row r="101" spans="1:19" x14ac:dyDescent="0.25">
      <c r="A101" s="86"/>
      <c r="B101" s="87"/>
      <c r="C101" s="62"/>
      <c r="D101" s="67"/>
      <c r="E101" s="69"/>
      <c r="F101" s="46" t="s">
        <v>90</v>
      </c>
      <c r="G101" s="46">
        <v>4</v>
      </c>
      <c r="H101" s="67"/>
      <c r="I101" s="67"/>
      <c r="J101" s="67"/>
      <c r="K101" s="67"/>
      <c r="L101" s="67"/>
      <c r="M101" s="67"/>
    </row>
    <row r="102" spans="1:19" x14ac:dyDescent="0.25">
      <c r="A102" s="86"/>
      <c r="B102" s="87"/>
      <c r="C102" s="62"/>
      <c r="D102" s="67"/>
      <c r="E102" s="69"/>
      <c r="F102" s="46" t="s">
        <v>91</v>
      </c>
      <c r="G102" s="46">
        <v>3</v>
      </c>
      <c r="H102" s="67"/>
      <c r="I102" s="67"/>
      <c r="J102" s="67"/>
      <c r="K102" s="67"/>
      <c r="L102" s="67"/>
      <c r="M102" s="67"/>
    </row>
    <row r="103" spans="1:19" x14ac:dyDescent="0.25">
      <c r="A103" s="86"/>
      <c r="B103" s="87"/>
      <c r="C103" s="62"/>
      <c r="D103" s="67"/>
      <c r="E103" s="69"/>
      <c r="F103" s="46" t="s">
        <v>92</v>
      </c>
      <c r="G103" s="46">
        <v>2</v>
      </c>
      <c r="H103" s="67"/>
      <c r="I103" s="67"/>
      <c r="J103" s="67"/>
      <c r="K103" s="67"/>
      <c r="L103" s="67"/>
      <c r="M103" s="67"/>
    </row>
    <row r="104" spans="1:19" x14ac:dyDescent="0.25">
      <c r="A104" s="86"/>
      <c r="B104" s="87"/>
      <c r="C104" s="62"/>
      <c r="D104" s="67"/>
      <c r="E104" s="69"/>
      <c r="F104" s="46" t="s">
        <v>93</v>
      </c>
      <c r="G104" s="46">
        <v>1</v>
      </c>
      <c r="H104" s="67"/>
      <c r="I104" s="67"/>
      <c r="J104" s="67"/>
      <c r="K104" s="67"/>
      <c r="L104" s="67"/>
      <c r="M104" s="67"/>
    </row>
    <row r="105" spans="1:19" x14ac:dyDescent="0.25">
      <c r="A105" s="86"/>
      <c r="B105" s="87"/>
      <c r="C105" s="62"/>
      <c r="D105" s="67"/>
      <c r="E105" s="69"/>
      <c r="F105" s="46" t="s">
        <v>94</v>
      </c>
      <c r="G105" s="46">
        <v>0</v>
      </c>
      <c r="H105" s="68"/>
      <c r="I105" s="68"/>
      <c r="J105" s="68"/>
      <c r="K105" s="68"/>
      <c r="L105" s="68"/>
      <c r="M105" s="68"/>
    </row>
    <row r="106" spans="1:19" x14ac:dyDescent="0.25">
      <c r="A106" s="86"/>
      <c r="B106" s="87"/>
      <c r="C106" s="62">
        <v>12</v>
      </c>
      <c r="D106" s="67"/>
      <c r="E106" s="69" t="s">
        <v>95</v>
      </c>
      <c r="F106" s="46" t="s">
        <v>89</v>
      </c>
      <c r="G106" s="46">
        <v>5</v>
      </c>
      <c r="H106" s="66">
        <v>4</v>
      </c>
      <c r="I106" s="66">
        <v>4</v>
      </c>
      <c r="J106" s="66">
        <v>4</v>
      </c>
      <c r="K106" s="66">
        <v>4</v>
      </c>
      <c r="L106" s="66">
        <v>4</v>
      </c>
      <c r="M106" s="66">
        <v>4</v>
      </c>
      <c r="Q106" s="47"/>
      <c r="R106" s="48"/>
      <c r="S106" s="48"/>
    </row>
    <row r="107" spans="1:19" x14ac:dyDescent="0.25">
      <c r="A107" s="86"/>
      <c r="B107" s="87"/>
      <c r="C107" s="62"/>
      <c r="D107" s="67"/>
      <c r="E107" s="69"/>
      <c r="F107" s="46" t="s">
        <v>90</v>
      </c>
      <c r="G107" s="46">
        <v>4</v>
      </c>
      <c r="H107" s="67"/>
      <c r="I107" s="67"/>
      <c r="J107" s="67"/>
      <c r="K107" s="67"/>
      <c r="L107" s="67"/>
      <c r="M107" s="67"/>
      <c r="Q107" s="47"/>
      <c r="R107" s="48"/>
      <c r="S107" s="48"/>
    </row>
    <row r="108" spans="1:19" x14ac:dyDescent="0.25">
      <c r="A108" s="86"/>
      <c r="B108" s="87"/>
      <c r="C108" s="62"/>
      <c r="D108" s="67"/>
      <c r="E108" s="69"/>
      <c r="F108" s="46" t="s">
        <v>91</v>
      </c>
      <c r="G108" s="46">
        <v>3</v>
      </c>
      <c r="H108" s="67"/>
      <c r="I108" s="67"/>
      <c r="J108" s="67"/>
      <c r="K108" s="67"/>
      <c r="L108" s="67"/>
      <c r="M108" s="67"/>
      <c r="Q108" s="47"/>
      <c r="R108" s="48"/>
      <c r="S108" s="48"/>
    </row>
    <row r="109" spans="1:19" x14ac:dyDescent="0.25">
      <c r="A109" s="86"/>
      <c r="B109" s="87"/>
      <c r="C109" s="62"/>
      <c r="D109" s="67"/>
      <c r="E109" s="69"/>
      <c r="F109" s="46" t="s">
        <v>92</v>
      </c>
      <c r="G109" s="46">
        <v>2</v>
      </c>
      <c r="H109" s="67"/>
      <c r="I109" s="67"/>
      <c r="J109" s="67"/>
      <c r="K109" s="67"/>
      <c r="L109" s="67"/>
      <c r="M109" s="67"/>
      <c r="Q109" s="47"/>
      <c r="R109" s="48"/>
      <c r="S109" s="48"/>
    </row>
    <row r="110" spans="1:19" x14ac:dyDescent="0.25">
      <c r="A110" s="86"/>
      <c r="B110" s="87"/>
      <c r="C110" s="62"/>
      <c r="D110" s="67"/>
      <c r="E110" s="69"/>
      <c r="F110" s="46" t="s">
        <v>93</v>
      </c>
      <c r="G110" s="46">
        <v>1</v>
      </c>
      <c r="H110" s="67"/>
      <c r="I110" s="67"/>
      <c r="J110" s="67"/>
      <c r="K110" s="67"/>
      <c r="L110" s="67"/>
      <c r="M110" s="67"/>
      <c r="Q110" s="47"/>
      <c r="R110" s="48"/>
      <c r="S110" s="48"/>
    </row>
    <row r="111" spans="1:19" x14ac:dyDescent="0.25">
      <c r="A111" s="86"/>
      <c r="B111" s="87"/>
      <c r="C111" s="62"/>
      <c r="D111" s="67"/>
      <c r="E111" s="69"/>
      <c r="F111" s="46" t="s">
        <v>94</v>
      </c>
      <c r="G111" s="46">
        <v>0</v>
      </c>
      <c r="H111" s="68"/>
      <c r="I111" s="68"/>
      <c r="J111" s="68"/>
      <c r="K111" s="68"/>
      <c r="L111" s="68"/>
      <c r="M111" s="68"/>
      <c r="Q111" s="47"/>
      <c r="R111" s="48"/>
      <c r="S111" s="48"/>
    </row>
    <row r="112" spans="1:19" x14ac:dyDescent="0.25">
      <c r="A112" s="86"/>
      <c r="B112" s="87"/>
      <c r="C112" s="62">
        <v>13</v>
      </c>
      <c r="D112" s="67"/>
      <c r="E112" s="69" t="s">
        <v>124</v>
      </c>
      <c r="F112" s="46" t="s">
        <v>89</v>
      </c>
      <c r="G112" s="46">
        <v>5</v>
      </c>
      <c r="H112" s="66">
        <v>3</v>
      </c>
      <c r="I112" s="66">
        <v>4</v>
      </c>
      <c r="J112" s="66">
        <v>4</v>
      </c>
      <c r="K112" s="66">
        <v>4</v>
      </c>
      <c r="L112" s="66">
        <v>4</v>
      </c>
      <c r="M112" s="66">
        <v>4</v>
      </c>
      <c r="Q112" s="47"/>
      <c r="R112" s="48"/>
      <c r="S112" s="48"/>
    </row>
    <row r="113" spans="1:19" x14ac:dyDescent="0.25">
      <c r="A113" s="86"/>
      <c r="B113" s="87"/>
      <c r="C113" s="62"/>
      <c r="D113" s="67"/>
      <c r="E113" s="69"/>
      <c r="F113" s="46" t="s">
        <v>90</v>
      </c>
      <c r="G113" s="46">
        <v>4</v>
      </c>
      <c r="H113" s="67"/>
      <c r="I113" s="67"/>
      <c r="J113" s="67"/>
      <c r="K113" s="67"/>
      <c r="L113" s="67"/>
      <c r="M113" s="67"/>
      <c r="Q113" s="47"/>
      <c r="R113" s="48"/>
      <c r="S113" s="48"/>
    </row>
    <row r="114" spans="1:19" x14ac:dyDescent="0.25">
      <c r="A114" s="86"/>
      <c r="B114" s="87"/>
      <c r="C114" s="62"/>
      <c r="D114" s="67"/>
      <c r="E114" s="69"/>
      <c r="F114" s="46" t="s">
        <v>91</v>
      </c>
      <c r="G114" s="46">
        <v>3</v>
      </c>
      <c r="H114" s="67"/>
      <c r="I114" s="67"/>
      <c r="J114" s="67"/>
      <c r="K114" s="67"/>
      <c r="L114" s="67"/>
      <c r="M114" s="67"/>
      <c r="Q114" s="47"/>
      <c r="R114" s="48"/>
      <c r="S114" s="48"/>
    </row>
    <row r="115" spans="1:19" x14ac:dyDescent="0.25">
      <c r="A115" s="86"/>
      <c r="B115" s="87"/>
      <c r="C115" s="62"/>
      <c r="D115" s="67"/>
      <c r="E115" s="69"/>
      <c r="F115" s="46" t="s">
        <v>92</v>
      </c>
      <c r="G115" s="46">
        <v>2</v>
      </c>
      <c r="H115" s="67"/>
      <c r="I115" s="67"/>
      <c r="J115" s="67"/>
      <c r="K115" s="67"/>
      <c r="L115" s="67"/>
      <c r="M115" s="67"/>
      <c r="Q115" s="47"/>
      <c r="R115" s="48"/>
      <c r="S115" s="48"/>
    </row>
    <row r="116" spans="1:19" x14ac:dyDescent="0.25">
      <c r="A116" s="86"/>
      <c r="B116" s="87"/>
      <c r="C116" s="62"/>
      <c r="D116" s="67"/>
      <c r="E116" s="69"/>
      <c r="F116" s="46" t="s">
        <v>93</v>
      </c>
      <c r="G116" s="46">
        <v>1</v>
      </c>
      <c r="H116" s="67"/>
      <c r="I116" s="67"/>
      <c r="J116" s="67"/>
      <c r="K116" s="67"/>
      <c r="L116" s="67"/>
      <c r="M116" s="67"/>
      <c r="Q116" s="47"/>
      <c r="R116" s="48"/>
      <c r="S116" s="48"/>
    </row>
    <row r="117" spans="1:19" x14ac:dyDescent="0.25">
      <c r="A117" s="86"/>
      <c r="B117" s="87"/>
      <c r="C117" s="62"/>
      <c r="D117" s="67"/>
      <c r="E117" s="69"/>
      <c r="F117" s="46" t="s">
        <v>94</v>
      </c>
      <c r="G117" s="46">
        <v>0</v>
      </c>
      <c r="H117" s="68"/>
      <c r="I117" s="68"/>
      <c r="J117" s="68"/>
      <c r="K117" s="68"/>
      <c r="L117" s="68"/>
      <c r="M117" s="68"/>
      <c r="Q117" s="47"/>
      <c r="R117" s="48"/>
      <c r="S117" s="48"/>
    </row>
    <row r="118" spans="1:19" ht="14.45" customHeight="1" x14ac:dyDescent="0.25">
      <c r="A118" s="86"/>
      <c r="B118" s="87"/>
      <c r="C118" s="62">
        <v>14</v>
      </c>
      <c r="D118" s="67"/>
      <c r="E118" s="70" t="s">
        <v>97</v>
      </c>
      <c r="F118" s="46" t="s">
        <v>98</v>
      </c>
      <c r="G118" s="46">
        <v>10</v>
      </c>
      <c r="H118" s="66">
        <v>5</v>
      </c>
      <c r="I118" s="66">
        <v>5</v>
      </c>
      <c r="J118" s="66">
        <v>5</v>
      </c>
      <c r="K118" s="66">
        <v>5</v>
      </c>
      <c r="L118" s="66">
        <v>5</v>
      </c>
      <c r="M118" s="66">
        <v>5</v>
      </c>
      <c r="Q118" s="47"/>
      <c r="R118" s="48"/>
      <c r="S118" s="48"/>
    </row>
    <row r="119" spans="1:19" x14ac:dyDescent="0.25">
      <c r="A119" s="86"/>
      <c r="B119" s="87"/>
      <c r="C119" s="62"/>
      <c r="D119" s="67"/>
      <c r="E119" s="71"/>
      <c r="F119" s="46" t="s">
        <v>110</v>
      </c>
      <c r="G119" s="46">
        <v>5</v>
      </c>
      <c r="H119" s="67"/>
      <c r="I119" s="67"/>
      <c r="J119" s="67"/>
      <c r="K119" s="67"/>
      <c r="L119" s="67"/>
      <c r="M119" s="67"/>
      <c r="Q119" s="47"/>
      <c r="R119" s="48"/>
      <c r="S119" s="48"/>
    </row>
    <row r="120" spans="1:19" x14ac:dyDescent="0.25">
      <c r="A120" s="86"/>
      <c r="B120" s="87"/>
      <c r="C120" s="62"/>
      <c r="D120" s="67"/>
      <c r="E120" s="72"/>
      <c r="F120" s="46" t="s">
        <v>111</v>
      </c>
      <c r="G120" s="46">
        <v>-10</v>
      </c>
      <c r="H120" s="68"/>
      <c r="I120" s="68"/>
      <c r="J120" s="68"/>
      <c r="K120" s="68"/>
      <c r="L120" s="68"/>
      <c r="M120" s="68"/>
      <c r="Q120" s="47"/>
      <c r="R120" s="48"/>
      <c r="S120" s="48"/>
    </row>
    <row r="121" spans="1:19" x14ac:dyDescent="0.25">
      <c r="A121" s="86"/>
      <c r="B121" s="87"/>
      <c r="C121" s="59"/>
      <c r="D121" s="58"/>
      <c r="E121" s="49" t="s">
        <v>83</v>
      </c>
      <c r="F121" s="50"/>
      <c r="G121" s="50"/>
      <c r="H121" s="51"/>
      <c r="I121" s="51"/>
      <c r="J121" s="51"/>
      <c r="K121" s="51"/>
      <c r="L121" s="51"/>
      <c r="M121" s="51"/>
      <c r="Q121" s="47"/>
      <c r="R121" s="48"/>
      <c r="S121" s="48"/>
    </row>
    <row r="122" spans="1:19" x14ac:dyDescent="0.25">
      <c r="A122" s="86"/>
      <c r="B122" s="87"/>
      <c r="C122" s="62">
        <v>15</v>
      </c>
      <c r="D122" s="67">
        <v>20</v>
      </c>
      <c r="E122" s="69" t="s">
        <v>86</v>
      </c>
      <c r="F122" s="46" t="s">
        <v>99</v>
      </c>
      <c r="G122" s="46">
        <v>5</v>
      </c>
      <c r="H122" s="66">
        <v>3</v>
      </c>
      <c r="I122" s="66">
        <v>3</v>
      </c>
      <c r="J122" s="66">
        <v>3</v>
      </c>
      <c r="K122" s="66">
        <v>3</v>
      </c>
      <c r="L122" s="66">
        <v>3</v>
      </c>
      <c r="M122" s="66">
        <v>3</v>
      </c>
      <c r="Q122" s="47"/>
      <c r="R122" s="48"/>
      <c r="S122" s="48"/>
    </row>
    <row r="123" spans="1:19" x14ac:dyDescent="0.25">
      <c r="A123" s="86"/>
      <c r="B123" s="87"/>
      <c r="C123" s="62"/>
      <c r="D123" s="67"/>
      <c r="E123" s="69"/>
      <c r="F123" s="46" t="s">
        <v>100</v>
      </c>
      <c r="G123" s="46">
        <v>4</v>
      </c>
      <c r="H123" s="67"/>
      <c r="I123" s="67"/>
      <c r="J123" s="67"/>
      <c r="K123" s="67"/>
      <c r="L123" s="67"/>
      <c r="M123" s="67"/>
      <c r="Q123" s="47"/>
      <c r="R123" s="48"/>
      <c r="S123" s="48"/>
    </row>
    <row r="124" spans="1:19" x14ac:dyDescent="0.25">
      <c r="A124" s="86"/>
      <c r="B124" s="87"/>
      <c r="C124" s="62"/>
      <c r="D124" s="67"/>
      <c r="E124" s="69"/>
      <c r="F124" s="46" t="s">
        <v>101</v>
      </c>
      <c r="G124" s="46">
        <v>3</v>
      </c>
      <c r="H124" s="67"/>
      <c r="I124" s="67"/>
      <c r="J124" s="67"/>
      <c r="K124" s="67"/>
      <c r="L124" s="67"/>
      <c r="M124" s="67"/>
    </row>
    <row r="125" spans="1:19" x14ac:dyDescent="0.25">
      <c r="A125" s="86"/>
      <c r="B125" s="87"/>
      <c r="C125" s="62"/>
      <c r="D125" s="67"/>
      <c r="E125" s="69"/>
      <c r="F125" s="46" t="s">
        <v>92</v>
      </c>
      <c r="G125" s="46">
        <v>2</v>
      </c>
      <c r="H125" s="67"/>
      <c r="I125" s="67"/>
      <c r="J125" s="67"/>
      <c r="K125" s="67"/>
      <c r="L125" s="67"/>
      <c r="M125" s="67"/>
    </row>
    <row r="126" spans="1:19" x14ac:dyDescent="0.25">
      <c r="A126" s="86"/>
      <c r="B126" s="87"/>
      <c r="C126" s="62"/>
      <c r="D126" s="67"/>
      <c r="E126" s="69"/>
      <c r="F126" s="46" t="s">
        <v>93</v>
      </c>
      <c r="G126" s="46">
        <v>1</v>
      </c>
      <c r="H126" s="67"/>
      <c r="I126" s="67"/>
      <c r="J126" s="67"/>
      <c r="K126" s="67"/>
      <c r="L126" s="67"/>
      <c r="M126" s="67"/>
    </row>
    <row r="127" spans="1:19" x14ac:dyDescent="0.25">
      <c r="A127" s="86"/>
      <c r="B127" s="87"/>
      <c r="C127" s="62"/>
      <c r="D127" s="67"/>
      <c r="E127" s="69"/>
      <c r="F127" s="46" t="s">
        <v>94</v>
      </c>
      <c r="G127" s="46">
        <v>0</v>
      </c>
      <c r="H127" s="68"/>
      <c r="I127" s="68"/>
      <c r="J127" s="68"/>
      <c r="K127" s="68"/>
      <c r="L127" s="68"/>
      <c r="M127" s="68"/>
    </row>
    <row r="128" spans="1:19" x14ac:dyDescent="0.25">
      <c r="A128" s="86"/>
      <c r="B128" s="87"/>
      <c r="C128" s="62">
        <v>16</v>
      </c>
      <c r="D128" s="67"/>
      <c r="E128" s="69" t="s">
        <v>84</v>
      </c>
      <c r="F128" s="46" t="s">
        <v>89</v>
      </c>
      <c r="G128" s="46">
        <v>5</v>
      </c>
      <c r="H128" s="66">
        <v>3</v>
      </c>
      <c r="I128" s="66">
        <v>3</v>
      </c>
      <c r="J128" s="66">
        <v>3</v>
      </c>
      <c r="K128" s="66">
        <v>3</v>
      </c>
      <c r="L128" s="66">
        <v>4</v>
      </c>
      <c r="M128" s="66">
        <v>4</v>
      </c>
    </row>
    <row r="129" spans="1:13" x14ac:dyDescent="0.25">
      <c r="A129" s="86"/>
      <c r="B129" s="87"/>
      <c r="C129" s="62"/>
      <c r="D129" s="67"/>
      <c r="E129" s="69"/>
      <c r="F129" s="46" t="s">
        <v>90</v>
      </c>
      <c r="G129" s="46">
        <v>4</v>
      </c>
      <c r="H129" s="67"/>
      <c r="I129" s="67"/>
      <c r="J129" s="67"/>
      <c r="K129" s="67"/>
      <c r="L129" s="67"/>
      <c r="M129" s="67"/>
    </row>
    <row r="130" spans="1:13" x14ac:dyDescent="0.25">
      <c r="A130" s="86"/>
      <c r="B130" s="87"/>
      <c r="C130" s="62"/>
      <c r="D130" s="67"/>
      <c r="E130" s="69"/>
      <c r="F130" s="46" t="s">
        <v>91</v>
      </c>
      <c r="G130" s="46">
        <v>3</v>
      </c>
      <c r="H130" s="67"/>
      <c r="I130" s="67"/>
      <c r="J130" s="67"/>
      <c r="K130" s="67"/>
      <c r="L130" s="67"/>
      <c r="M130" s="67"/>
    </row>
    <row r="131" spans="1:13" x14ac:dyDescent="0.25">
      <c r="A131" s="86"/>
      <c r="B131" s="87"/>
      <c r="C131" s="62"/>
      <c r="D131" s="67"/>
      <c r="E131" s="69"/>
      <c r="F131" s="46" t="s">
        <v>92</v>
      </c>
      <c r="G131" s="46">
        <v>2</v>
      </c>
      <c r="H131" s="67"/>
      <c r="I131" s="67"/>
      <c r="J131" s="67"/>
      <c r="K131" s="67"/>
      <c r="L131" s="67"/>
      <c r="M131" s="67"/>
    </row>
    <row r="132" spans="1:13" x14ac:dyDescent="0.25">
      <c r="A132" s="86"/>
      <c r="B132" s="87"/>
      <c r="C132" s="62"/>
      <c r="D132" s="67"/>
      <c r="E132" s="69"/>
      <c r="F132" s="46" t="s">
        <v>93</v>
      </c>
      <c r="G132" s="46">
        <v>1</v>
      </c>
      <c r="H132" s="67"/>
      <c r="I132" s="67"/>
      <c r="J132" s="67"/>
      <c r="K132" s="67"/>
      <c r="L132" s="67"/>
      <c r="M132" s="67"/>
    </row>
    <row r="133" spans="1:13" x14ac:dyDescent="0.25">
      <c r="A133" s="86"/>
      <c r="B133" s="87"/>
      <c r="C133" s="62"/>
      <c r="D133" s="67"/>
      <c r="E133" s="69"/>
      <c r="F133" s="46" t="s">
        <v>94</v>
      </c>
      <c r="G133" s="46">
        <v>0</v>
      </c>
      <c r="H133" s="68"/>
      <c r="I133" s="68"/>
      <c r="J133" s="68"/>
      <c r="K133" s="68"/>
      <c r="L133" s="68"/>
      <c r="M133" s="68"/>
    </row>
    <row r="134" spans="1:13" x14ac:dyDescent="0.25">
      <c r="A134" s="86"/>
      <c r="B134" s="87"/>
      <c r="C134" s="62">
        <v>17</v>
      </c>
      <c r="D134" s="67"/>
      <c r="E134" s="69" t="s">
        <v>85</v>
      </c>
      <c r="F134" s="46" t="s">
        <v>89</v>
      </c>
      <c r="G134" s="46">
        <v>5</v>
      </c>
      <c r="H134" s="66">
        <v>3</v>
      </c>
      <c r="I134" s="66">
        <v>3</v>
      </c>
      <c r="J134" s="66">
        <v>3</v>
      </c>
      <c r="K134" s="66">
        <v>3</v>
      </c>
      <c r="L134" s="66">
        <v>3</v>
      </c>
      <c r="M134" s="66">
        <v>3</v>
      </c>
    </row>
    <row r="135" spans="1:13" x14ac:dyDescent="0.25">
      <c r="A135" s="86"/>
      <c r="B135" s="87"/>
      <c r="C135" s="62"/>
      <c r="D135" s="67"/>
      <c r="E135" s="69"/>
      <c r="F135" s="46" t="s">
        <v>90</v>
      </c>
      <c r="G135" s="46">
        <v>4</v>
      </c>
      <c r="H135" s="67"/>
      <c r="I135" s="67"/>
      <c r="J135" s="67"/>
      <c r="K135" s="67"/>
      <c r="L135" s="67"/>
      <c r="M135" s="67"/>
    </row>
    <row r="136" spans="1:13" x14ac:dyDescent="0.25">
      <c r="A136" s="86"/>
      <c r="B136" s="87"/>
      <c r="C136" s="62"/>
      <c r="D136" s="67"/>
      <c r="E136" s="69"/>
      <c r="F136" s="46" t="s">
        <v>91</v>
      </c>
      <c r="G136" s="46">
        <v>3</v>
      </c>
      <c r="H136" s="67"/>
      <c r="I136" s="67"/>
      <c r="J136" s="67"/>
      <c r="K136" s="67"/>
      <c r="L136" s="67"/>
      <c r="M136" s="67"/>
    </row>
    <row r="137" spans="1:13" x14ac:dyDescent="0.25">
      <c r="A137" s="86"/>
      <c r="B137" s="87"/>
      <c r="C137" s="62"/>
      <c r="D137" s="67"/>
      <c r="E137" s="69"/>
      <c r="F137" s="46" t="s">
        <v>92</v>
      </c>
      <c r="G137" s="46">
        <v>2</v>
      </c>
      <c r="H137" s="67"/>
      <c r="I137" s="67"/>
      <c r="J137" s="67"/>
      <c r="K137" s="67"/>
      <c r="L137" s="67"/>
      <c r="M137" s="67"/>
    </row>
    <row r="138" spans="1:13" x14ac:dyDescent="0.25">
      <c r="A138" s="86"/>
      <c r="B138" s="87"/>
      <c r="C138" s="62"/>
      <c r="D138" s="67"/>
      <c r="E138" s="69"/>
      <c r="F138" s="46" t="s">
        <v>93</v>
      </c>
      <c r="G138" s="46">
        <v>1</v>
      </c>
      <c r="H138" s="67"/>
      <c r="I138" s="67"/>
      <c r="J138" s="67"/>
      <c r="K138" s="67"/>
      <c r="L138" s="67"/>
      <c r="M138" s="67"/>
    </row>
    <row r="139" spans="1:13" x14ac:dyDescent="0.25">
      <c r="A139" s="86"/>
      <c r="B139" s="87"/>
      <c r="C139" s="62"/>
      <c r="D139" s="67"/>
      <c r="E139" s="69"/>
      <c r="F139" s="46" t="s">
        <v>94</v>
      </c>
      <c r="G139" s="46">
        <v>0</v>
      </c>
      <c r="H139" s="68"/>
      <c r="I139" s="68"/>
      <c r="J139" s="68"/>
      <c r="K139" s="68"/>
      <c r="L139" s="68"/>
      <c r="M139" s="68"/>
    </row>
    <row r="140" spans="1:13" x14ac:dyDescent="0.25">
      <c r="A140" s="86"/>
      <c r="B140" s="87"/>
      <c r="C140" s="62">
        <v>18</v>
      </c>
      <c r="D140" s="67"/>
      <c r="E140" s="69" t="s">
        <v>87</v>
      </c>
      <c r="F140" s="46" t="s">
        <v>89</v>
      </c>
      <c r="G140" s="46">
        <v>5</v>
      </c>
      <c r="H140" s="66">
        <v>3</v>
      </c>
      <c r="I140" s="66">
        <v>3</v>
      </c>
      <c r="J140" s="66">
        <v>4</v>
      </c>
      <c r="K140" s="66">
        <v>4</v>
      </c>
      <c r="L140" s="66">
        <v>4</v>
      </c>
      <c r="M140" s="66">
        <v>4</v>
      </c>
    </row>
    <row r="141" spans="1:13" x14ac:dyDescent="0.25">
      <c r="A141" s="86"/>
      <c r="B141" s="87"/>
      <c r="C141" s="62"/>
      <c r="D141" s="67"/>
      <c r="E141" s="69"/>
      <c r="F141" s="46" t="s">
        <v>90</v>
      </c>
      <c r="G141" s="46">
        <v>4</v>
      </c>
      <c r="H141" s="67"/>
      <c r="I141" s="67"/>
      <c r="J141" s="67"/>
      <c r="K141" s="67"/>
      <c r="L141" s="67"/>
      <c r="M141" s="67"/>
    </row>
    <row r="142" spans="1:13" x14ac:dyDescent="0.25">
      <c r="A142" s="86"/>
      <c r="B142" s="87"/>
      <c r="C142" s="62"/>
      <c r="D142" s="67"/>
      <c r="E142" s="69"/>
      <c r="F142" s="46" t="s">
        <v>91</v>
      </c>
      <c r="G142" s="46">
        <v>3</v>
      </c>
      <c r="H142" s="67"/>
      <c r="I142" s="67"/>
      <c r="J142" s="67"/>
      <c r="K142" s="67"/>
      <c r="L142" s="67"/>
      <c r="M142" s="67"/>
    </row>
    <row r="143" spans="1:13" x14ac:dyDescent="0.25">
      <c r="A143" s="86"/>
      <c r="B143" s="87"/>
      <c r="C143" s="62"/>
      <c r="D143" s="67"/>
      <c r="E143" s="69"/>
      <c r="F143" s="46" t="s">
        <v>92</v>
      </c>
      <c r="G143" s="46">
        <v>2</v>
      </c>
      <c r="H143" s="67"/>
      <c r="I143" s="67"/>
      <c r="J143" s="67"/>
      <c r="K143" s="67"/>
      <c r="L143" s="67"/>
      <c r="M143" s="67"/>
    </row>
    <row r="144" spans="1:13" x14ac:dyDescent="0.25">
      <c r="A144" s="86"/>
      <c r="B144" s="87"/>
      <c r="C144" s="62"/>
      <c r="D144" s="67"/>
      <c r="E144" s="69"/>
      <c r="F144" s="46" t="s">
        <v>93</v>
      </c>
      <c r="G144" s="46">
        <v>1</v>
      </c>
      <c r="H144" s="67"/>
      <c r="I144" s="67"/>
      <c r="J144" s="67"/>
      <c r="K144" s="67"/>
      <c r="L144" s="67"/>
      <c r="M144" s="67"/>
    </row>
    <row r="145" spans="1:13" x14ac:dyDescent="0.25">
      <c r="A145" s="86"/>
      <c r="B145" s="87"/>
      <c r="C145" s="62"/>
      <c r="D145" s="67"/>
      <c r="E145" s="69"/>
      <c r="F145" s="46" t="s">
        <v>94</v>
      </c>
      <c r="G145" s="46">
        <v>0</v>
      </c>
      <c r="H145" s="68"/>
      <c r="I145" s="68"/>
      <c r="J145" s="68"/>
      <c r="K145" s="68"/>
      <c r="L145" s="68"/>
      <c r="M145" s="68"/>
    </row>
    <row r="146" spans="1:13" x14ac:dyDescent="0.25">
      <c r="C146" s="45"/>
      <c r="D146" s="45"/>
      <c r="E146" s="32" t="s">
        <v>60</v>
      </c>
      <c r="F146" s="45"/>
      <c r="G146" s="46">
        <v>100</v>
      </c>
      <c r="H146" s="45">
        <f>SUM(H50:H145)</f>
        <v>69</v>
      </c>
      <c r="I146" s="45">
        <f t="shared" ref="I146:M146" si="1">SUM(I50:I145)</f>
        <v>71</v>
      </c>
      <c r="J146" s="45">
        <f t="shared" si="1"/>
        <v>74</v>
      </c>
      <c r="K146" s="45">
        <f t="shared" si="1"/>
        <v>74</v>
      </c>
      <c r="L146" s="45">
        <f t="shared" si="1"/>
        <v>75</v>
      </c>
      <c r="M146" s="45">
        <f t="shared" si="1"/>
        <v>75</v>
      </c>
    </row>
    <row r="147" spans="1:13" x14ac:dyDescent="0.25">
      <c r="C147" s="45"/>
      <c r="D147" s="45"/>
      <c r="E147" s="32" t="s">
        <v>62</v>
      </c>
      <c r="F147" s="45"/>
      <c r="G147" s="45"/>
      <c r="H147" s="45">
        <f>H146/100</f>
        <v>0.69</v>
      </c>
      <c r="I147" s="45">
        <f t="shared" ref="I147:M147" si="2">I146/100</f>
        <v>0.71</v>
      </c>
      <c r="J147" s="45">
        <f t="shared" si="2"/>
        <v>0.74</v>
      </c>
      <c r="K147" s="45">
        <f t="shared" si="2"/>
        <v>0.74</v>
      </c>
      <c r="L147" s="45">
        <f t="shared" si="2"/>
        <v>0.75</v>
      </c>
      <c r="M147" s="45">
        <f t="shared" si="2"/>
        <v>0.75</v>
      </c>
    </row>
    <row r="148" spans="1:13" x14ac:dyDescent="0.25">
      <c r="C148" s="45"/>
      <c r="D148" s="45"/>
      <c r="E148" s="33" t="s">
        <v>61</v>
      </c>
      <c r="F148" s="45"/>
      <c r="G148" s="45"/>
      <c r="H148" s="45"/>
      <c r="I148" s="45"/>
      <c r="J148" s="45"/>
      <c r="K148" s="45"/>
      <c r="L148" s="45"/>
      <c r="M148" s="45"/>
    </row>
    <row r="149" spans="1:13" x14ac:dyDescent="0.25">
      <c r="E149" s="60" t="s">
        <v>115</v>
      </c>
      <c r="F149" s="61"/>
      <c r="G149" s="61"/>
      <c r="H149" s="61">
        <f t="shared" ref="H149:M149" si="3">(40%*H43)+(60%*H146)</f>
        <v>81.400000000000006</v>
      </c>
      <c r="I149" s="61">
        <f t="shared" si="3"/>
        <v>76.599999999999994</v>
      </c>
      <c r="J149" s="61">
        <f t="shared" si="3"/>
        <v>84.4</v>
      </c>
      <c r="K149" s="61">
        <f t="shared" si="3"/>
        <v>84.4</v>
      </c>
      <c r="L149" s="61">
        <f t="shared" si="3"/>
        <v>85</v>
      </c>
      <c r="M149" s="61">
        <f t="shared" si="3"/>
        <v>81</v>
      </c>
    </row>
    <row r="150" spans="1:13" x14ac:dyDescent="0.25">
      <c r="E150" s="53"/>
    </row>
    <row r="151" spans="1:13" x14ac:dyDescent="0.25">
      <c r="E151" s="53"/>
    </row>
    <row r="152" spans="1:13" x14ac:dyDescent="0.25">
      <c r="E152" s="53"/>
    </row>
    <row r="153" spans="1:13" x14ac:dyDescent="0.25">
      <c r="E153" s="63" t="s">
        <v>63</v>
      </c>
      <c r="F153" s="64"/>
      <c r="G153" s="64"/>
      <c r="H153" s="65"/>
    </row>
    <row r="154" spans="1:13" x14ac:dyDescent="0.25">
      <c r="E154" s="77" t="s">
        <v>64</v>
      </c>
      <c r="F154" s="34" t="s">
        <v>65</v>
      </c>
      <c r="G154" s="82">
        <v>5</v>
      </c>
      <c r="H154" s="83"/>
    </row>
    <row r="155" spans="1:13" x14ac:dyDescent="0.25">
      <c r="E155" s="78"/>
      <c r="F155" s="34" t="s">
        <v>66</v>
      </c>
      <c r="G155" s="82">
        <v>4</v>
      </c>
      <c r="H155" s="83"/>
    </row>
    <row r="156" spans="1:13" x14ac:dyDescent="0.25">
      <c r="E156" s="78"/>
      <c r="F156" s="34" t="s">
        <v>67</v>
      </c>
      <c r="G156" s="82">
        <v>3</v>
      </c>
      <c r="H156" s="83"/>
    </row>
    <row r="157" spans="1:13" x14ac:dyDescent="0.25">
      <c r="E157" s="78"/>
      <c r="F157" s="34" t="s">
        <v>68</v>
      </c>
      <c r="G157" s="82">
        <v>2</v>
      </c>
      <c r="H157" s="83"/>
    </row>
    <row r="158" spans="1:13" x14ac:dyDescent="0.25">
      <c r="E158" s="79"/>
      <c r="F158" s="34" t="s">
        <v>69</v>
      </c>
      <c r="G158" s="82">
        <v>1</v>
      </c>
      <c r="H158" s="83"/>
    </row>
    <row r="159" spans="1:13" x14ac:dyDescent="0.25">
      <c r="E159" s="73"/>
      <c r="F159" s="74"/>
      <c r="G159" s="74"/>
      <c r="H159" s="75"/>
    </row>
    <row r="160" spans="1:13" x14ac:dyDescent="0.25">
      <c r="E160" s="77" t="s">
        <v>70</v>
      </c>
      <c r="F160" s="35" t="s">
        <v>65</v>
      </c>
      <c r="G160" s="80" t="s">
        <v>71</v>
      </c>
      <c r="H160" s="81"/>
    </row>
    <row r="161" spans="5:8" x14ac:dyDescent="0.25">
      <c r="E161" s="78"/>
      <c r="F161" s="35" t="s">
        <v>66</v>
      </c>
      <c r="G161" s="82" t="s">
        <v>72</v>
      </c>
      <c r="H161" s="83"/>
    </row>
    <row r="162" spans="5:8" x14ac:dyDescent="0.25">
      <c r="E162" s="78"/>
      <c r="F162" s="35" t="s">
        <v>73</v>
      </c>
      <c r="G162" s="82" t="s">
        <v>74</v>
      </c>
      <c r="H162" s="83"/>
    </row>
    <row r="163" spans="5:8" x14ac:dyDescent="0.25">
      <c r="E163" s="78"/>
      <c r="F163" s="35" t="s">
        <v>68</v>
      </c>
      <c r="G163" s="82" t="s">
        <v>75</v>
      </c>
      <c r="H163" s="83"/>
    </row>
    <row r="164" spans="5:8" x14ac:dyDescent="0.25">
      <c r="E164" s="79"/>
      <c r="F164" s="35" t="s">
        <v>69</v>
      </c>
      <c r="G164" s="82" t="s">
        <v>76</v>
      </c>
      <c r="H164" s="83"/>
    </row>
  </sheetData>
  <mergeCells count="254">
    <mergeCell ref="A1:M4"/>
    <mergeCell ref="A5:M5"/>
    <mergeCell ref="A6:M6"/>
    <mergeCell ref="A7:M7"/>
    <mergeCell ref="B8:D8"/>
    <mergeCell ref="E8:M8"/>
    <mergeCell ref="I112:I117"/>
    <mergeCell ref="J112:J117"/>
    <mergeCell ref="K112:K117"/>
    <mergeCell ref="L112:L117"/>
    <mergeCell ref="M112:M117"/>
    <mergeCell ref="B12:D12"/>
    <mergeCell ref="E12:M12"/>
    <mergeCell ref="B13:D13"/>
    <mergeCell ref="E13:M13"/>
    <mergeCell ref="A14:M14"/>
    <mergeCell ref="A15:B15"/>
    <mergeCell ref="D15:E15"/>
    <mergeCell ref="B9:D9"/>
    <mergeCell ref="E9:M9"/>
    <mergeCell ref="B10:D10"/>
    <mergeCell ref="E10:M10"/>
    <mergeCell ref="B11:D11"/>
    <mergeCell ref="E11:M11"/>
    <mergeCell ref="A16:B16"/>
    <mergeCell ref="A18:B18"/>
    <mergeCell ref="A19:A24"/>
    <mergeCell ref="B19:B21"/>
    <mergeCell ref="C19:C21"/>
    <mergeCell ref="D19:D21"/>
    <mergeCell ref="B22:B24"/>
    <mergeCell ref="C22:C24"/>
    <mergeCell ref="D22:D24"/>
    <mergeCell ref="K22:K24"/>
    <mergeCell ref="L22:L24"/>
    <mergeCell ref="M22:M24"/>
    <mergeCell ref="H19:H21"/>
    <mergeCell ref="I19:I21"/>
    <mergeCell ref="J19:J21"/>
    <mergeCell ref="K19:K21"/>
    <mergeCell ref="L19:L21"/>
    <mergeCell ref="M19:M21"/>
    <mergeCell ref="A25:B25"/>
    <mergeCell ref="A26:A28"/>
    <mergeCell ref="B26:B28"/>
    <mergeCell ref="C26:C28"/>
    <mergeCell ref="D26:D28"/>
    <mergeCell ref="H26:H28"/>
    <mergeCell ref="H22:H24"/>
    <mergeCell ref="I22:I24"/>
    <mergeCell ref="J22:J24"/>
    <mergeCell ref="I26:I28"/>
    <mergeCell ref="J26:J28"/>
    <mergeCell ref="K26:K28"/>
    <mergeCell ref="L26:L28"/>
    <mergeCell ref="M26:M28"/>
    <mergeCell ref="A30:A32"/>
    <mergeCell ref="B30:B32"/>
    <mergeCell ref="C30:C32"/>
    <mergeCell ref="D30:D32"/>
    <mergeCell ref="H30:H32"/>
    <mergeCell ref="I30:I32"/>
    <mergeCell ref="J30:J32"/>
    <mergeCell ref="K30:K32"/>
    <mergeCell ref="L30:L32"/>
    <mergeCell ref="M30:M32"/>
    <mergeCell ref="B34:B36"/>
    <mergeCell ref="C34:C36"/>
    <mergeCell ref="D34:D36"/>
    <mergeCell ref="H34:H36"/>
    <mergeCell ref="I34:I36"/>
    <mergeCell ref="J34:J36"/>
    <mergeCell ref="K34:K36"/>
    <mergeCell ref="L34:L36"/>
    <mergeCell ref="M34:M36"/>
    <mergeCell ref="A43:G43"/>
    <mergeCell ref="A44:G44"/>
    <mergeCell ref="A45:M46"/>
    <mergeCell ref="J37:J39"/>
    <mergeCell ref="K37:K39"/>
    <mergeCell ref="L37:L39"/>
    <mergeCell ref="M37:M39"/>
    <mergeCell ref="B40:B42"/>
    <mergeCell ref="C40:C42"/>
    <mergeCell ref="D40:D42"/>
    <mergeCell ref="H40:H42"/>
    <mergeCell ref="I40:I42"/>
    <mergeCell ref="J40:J42"/>
    <mergeCell ref="A37:A42"/>
    <mergeCell ref="B37:B39"/>
    <mergeCell ref="C37:C39"/>
    <mergeCell ref="D37:D39"/>
    <mergeCell ref="H37:H39"/>
    <mergeCell ref="I37:I39"/>
    <mergeCell ref="K40:K42"/>
    <mergeCell ref="L40:L42"/>
    <mergeCell ref="M40:M42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50:I51"/>
    <mergeCell ref="J64:J69"/>
    <mergeCell ref="K64:K69"/>
    <mergeCell ref="L64:L69"/>
    <mergeCell ref="M64:M69"/>
    <mergeCell ref="J54:J56"/>
    <mergeCell ref="K54:K56"/>
    <mergeCell ref="L54:L56"/>
    <mergeCell ref="M54:M56"/>
    <mergeCell ref="I58:I63"/>
    <mergeCell ref="J58:J63"/>
    <mergeCell ref="K58:K63"/>
    <mergeCell ref="L58:L63"/>
    <mergeCell ref="M58:M63"/>
    <mergeCell ref="I54:I56"/>
    <mergeCell ref="I64:I69"/>
    <mergeCell ref="J70:J75"/>
    <mergeCell ref="K70:K75"/>
    <mergeCell ref="L70:L75"/>
    <mergeCell ref="M70:M75"/>
    <mergeCell ref="I70:I75"/>
    <mergeCell ref="I76:I81"/>
    <mergeCell ref="J76:J81"/>
    <mergeCell ref="K76:K81"/>
    <mergeCell ref="L76:L81"/>
    <mergeCell ref="M76:M81"/>
    <mergeCell ref="I82:I87"/>
    <mergeCell ref="J82:J87"/>
    <mergeCell ref="K82:K87"/>
    <mergeCell ref="L82:L87"/>
    <mergeCell ref="M82:M87"/>
    <mergeCell ref="M100:M105"/>
    <mergeCell ref="I88:I93"/>
    <mergeCell ref="J88:J93"/>
    <mergeCell ref="K88:K93"/>
    <mergeCell ref="L88:L93"/>
    <mergeCell ref="M88:M93"/>
    <mergeCell ref="I94:I99"/>
    <mergeCell ref="J94:J99"/>
    <mergeCell ref="K94:K99"/>
    <mergeCell ref="L94:L99"/>
    <mergeCell ref="M94:M99"/>
    <mergeCell ref="I100:I105"/>
    <mergeCell ref="J100:J105"/>
    <mergeCell ref="K100:K105"/>
    <mergeCell ref="L100:L105"/>
    <mergeCell ref="M106:M111"/>
    <mergeCell ref="I122:I127"/>
    <mergeCell ref="J122:J127"/>
    <mergeCell ref="K122:K127"/>
    <mergeCell ref="L122:L127"/>
    <mergeCell ref="M122:M127"/>
    <mergeCell ref="M118:M120"/>
    <mergeCell ref="I140:I145"/>
    <mergeCell ref="J140:J145"/>
    <mergeCell ref="K140:K145"/>
    <mergeCell ref="L140:L145"/>
    <mergeCell ref="M140:M145"/>
    <mergeCell ref="I118:I120"/>
    <mergeCell ref="J118:J120"/>
    <mergeCell ref="K118:K120"/>
    <mergeCell ref="L118:L120"/>
    <mergeCell ref="I106:I111"/>
    <mergeCell ref="J106:J111"/>
    <mergeCell ref="K106:K111"/>
    <mergeCell ref="L106:L111"/>
    <mergeCell ref="I128:I133"/>
    <mergeCell ref="J128:J133"/>
    <mergeCell ref="K128:K133"/>
    <mergeCell ref="L128:L133"/>
    <mergeCell ref="M128:M133"/>
    <mergeCell ref="I134:I139"/>
    <mergeCell ref="J134:J139"/>
    <mergeCell ref="K134:K139"/>
    <mergeCell ref="L134:L139"/>
    <mergeCell ref="M134:M139"/>
    <mergeCell ref="C64:C69"/>
    <mergeCell ref="C50:C51"/>
    <mergeCell ref="A47:B145"/>
    <mergeCell ref="C118:C120"/>
    <mergeCell ref="C128:C133"/>
    <mergeCell ref="C134:C139"/>
    <mergeCell ref="C140:C145"/>
    <mergeCell ref="C112:C117"/>
    <mergeCell ref="C88:C93"/>
    <mergeCell ref="C94:C99"/>
    <mergeCell ref="C100:C105"/>
    <mergeCell ref="C106:C111"/>
    <mergeCell ref="C122:C127"/>
    <mergeCell ref="C70:C75"/>
    <mergeCell ref="C76:C81"/>
    <mergeCell ref="C82:C87"/>
    <mergeCell ref="C52:C53"/>
    <mergeCell ref="C54:C56"/>
    <mergeCell ref="E160:E164"/>
    <mergeCell ref="G160:H160"/>
    <mergeCell ref="G161:H161"/>
    <mergeCell ref="G162:H162"/>
    <mergeCell ref="G163:H163"/>
    <mergeCell ref="G164:H164"/>
    <mergeCell ref="E154:E158"/>
    <mergeCell ref="G154:H154"/>
    <mergeCell ref="G155:H155"/>
    <mergeCell ref="G156:H156"/>
    <mergeCell ref="G157:H157"/>
    <mergeCell ref="G158:H158"/>
    <mergeCell ref="D50:D56"/>
    <mergeCell ref="E118:E120"/>
    <mergeCell ref="D58:D120"/>
    <mergeCell ref="D122:D145"/>
    <mergeCell ref="E54:E56"/>
    <mergeCell ref="E52:E53"/>
    <mergeCell ref="E50:E51"/>
    <mergeCell ref="E112:E117"/>
    <mergeCell ref="E159:H159"/>
    <mergeCell ref="H70:H75"/>
    <mergeCell ref="H76:H81"/>
    <mergeCell ref="H82:H87"/>
    <mergeCell ref="H88:H93"/>
    <mergeCell ref="H94:H99"/>
    <mergeCell ref="E134:E139"/>
    <mergeCell ref="E140:E145"/>
    <mergeCell ref="H50:H51"/>
    <mergeCell ref="H52:H53"/>
    <mergeCell ref="H54:H56"/>
    <mergeCell ref="H58:H63"/>
    <mergeCell ref="H64:H69"/>
    <mergeCell ref="E82:E87"/>
    <mergeCell ref="E88:E93"/>
    <mergeCell ref="E94:E99"/>
    <mergeCell ref="C58:C63"/>
    <mergeCell ref="E153:H153"/>
    <mergeCell ref="H128:H133"/>
    <mergeCell ref="H134:H139"/>
    <mergeCell ref="H140:H145"/>
    <mergeCell ref="H106:H111"/>
    <mergeCell ref="H122:H127"/>
    <mergeCell ref="H112:H117"/>
    <mergeCell ref="H118:H120"/>
    <mergeCell ref="E100:E105"/>
    <mergeCell ref="E122:E127"/>
    <mergeCell ref="E128:E133"/>
    <mergeCell ref="E70:E75"/>
    <mergeCell ref="E76:E81"/>
    <mergeCell ref="E58:E63"/>
    <mergeCell ref="E64:E69"/>
    <mergeCell ref="H100:H105"/>
    <mergeCell ref="E106:E1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92BE-EF00-4102-8052-994DCAEE0E6D}">
  <dimension ref="A1:S164"/>
  <sheetViews>
    <sheetView topLeftCell="A175" zoomScale="84" workbookViewId="0">
      <selection activeCell="F220" sqref="F220"/>
    </sheetView>
  </sheetViews>
  <sheetFormatPr defaultRowHeight="15" x14ac:dyDescent="0.25"/>
  <cols>
    <col min="4" max="4" width="27" customWidth="1"/>
    <col min="5" max="5" width="34.7109375" customWidth="1"/>
    <col min="6" max="6" width="19.42578125" customWidth="1"/>
    <col min="9" max="9" width="9.28515625" bestFit="1" customWidth="1"/>
    <col min="10" max="10" width="11.85546875" bestFit="1" customWidth="1"/>
    <col min="11" max="11" width="9.140625" bestFit="1" customWidth="1"/>
    <col min="12" max="13" width="11.28515625" bestFit="1" customWidth="1"/>
  </cols>
  <sheetData>
    <row r="1" spans="1:14" s="1" customFormat="1" ht="14.25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4" s="1" customFormat="1" ht="14.25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s="1" customFormat="1" ht="14.25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4" s="1" customFormat="1" ht="14.25" x14ac:dyDescent="0.2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4" s="1" customFormat="1" x14ac:dyDescent="0.25">
      <c r="A5" s="115" t="s">
        <v>0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</row>
    <row r="6" spans="1:14" s="1" customFormat="1" x14ac:dyDescent="0.25">
      <c r="A6" s="115" t="s">
        <v>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14" s="1" customFormat="1" ht="14.25" x14ac:dyDescent="0.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4" s="1" customFormat="1" ht="15" customHeight="1" x14ac:dyDescent="0.2">
      <c r="A8" s="38"/>
      <c r="B8" s="116" t="s">
        <v>2</v>
      </c>
      <c r="C8" s="116"/>
      <c r="D8" s="116"/>
      <c r="E8" s="116" t="s">
        <v>116</v>
      </c>
      <c r="F8" s="116"/>
      <c r="G8" s="116"/>
      <c r="H8" s="116"/>
      <c r="I8" s="116"/>
      <c r="J8" s="116"/>
      <c r="K8" s="116"/>
      <c r="L8" s="116"/>
      <c r="M8" s="116"/>
    </row>
    <row r="9" spans="1:14" s="1" customFormat="1" ht="15" customHeight="1" x14ac:dyDescent="0.2">
      <c r="A9" s="38"/>
      <c r="B9" s="116" t="s">
        <v>3</v>
      </c>
      <c r="C9" s="116"/>
      <c r="D9" s="116"/>
      <c r="E9" s="116" t="s">
        <v>117</v>
      </c>
      <c r="F9" s="116"/>
      <c r="G9" s="116"/>
      <c r="H9" s="116"/>
      <c r="I9" s="116"/>
      <c r="J9" s="116"/>
      <c r="K9" s="116"/>
      <c r="L9" s="116"/>
      <c r="M9" s="116"/>
    </row>
    <row r="10" spans="1:14" s="1" customFormat="1" ht="15" customHeight="1" x14ac:dyDescent="0.2">
      <c r="A10" s="38"/>
      <c r="B10" s="116" t="s">
        <v>4</v>
      </c>
      <c r="C10" s="116"/>
      <c r="D10" s="116"/>
      <c r="E10" s="116" t="s">
        <v>118</v>
      </c>
      <c r="F10" s="116"/>
      <c r="G10" s="116"/>
      <c r="H10" s="116"/>
      <c r="I10" s="116"/>
      <c r="J10" s="116"/>
      <c r="K10" s="116"/>
      <c r="L10" s="116"/>
      <c r="M10" s="116"/>
    </row>
    <row r="11" spans="1:14" s="1" customFormat="1" ht="15" customHeight="1" x14ac:dyDescent="0.2">
      <c r="A11" s="38"/>
      <c r="B11" s="116" t="s">
        <v>5</v>
      </c>
      <c r="C11" s="116"/>
      <c r="D11" s="116"/>
      <c r="E11" s="116" t="s">
        <v>119</v>
      </c>
      <c r="F11" s="116"/>
      <c r="G11" s="116"/>
      <c r="H11" s="116"/>
      <c r="I11" s="116"/>
      <c r="J11" s="116"/>
      <c r="K11" s="116"/>
      <c r="L11" s="116"/>
      <c r="M11" s="116"/>
    </row>
    <row r="12" spans="1:14" s="1" customFormat="1" ht="15" customHeight="1" x14ac:dyDescent="0.2">
      <c r="A12" s="38"/>
      <c r="B12" s="116" t="s">
        <v>6</v>
      </c>
      <c r="C12" s="116"/>
      <c r="D12" s="116"/>
      <c r="E12" s="116" t="s">
        <v>120</v>
      </c>
      <c r="F12" s="116"/>
      <c r="G12" s="116"/>
      <c r="H12" s="116"/>
      <c r="I12" s="116"/>
      <c r="J12" s="116"/>
      <c r="K12" s="116"/>
      <c r="L12" s="116"/>
      <c r="M12" s="116"/>
    </row>
    <row r="13" spans="1:14" s="1" customFormat="1" ht="15" customHeight="1" x14ac:dyDescent="0.2">
      <c r="A13" s="38"/>
      <c r="B13" s="116" t="s">
        <v>7</v>
      </c>
      <c r="C13" s="116"/>
      <c r="D13" s="116"/>
      <c r="E13" s="116" t="s">
        <v>125</v>
      </c>
      <c r="F13" s="116"/>
      <c r="G13" s="116"/>
      <c r="H13" s="116"/>
      <c r="I13" s="116"/>
      <c r="J13" s="116"/>
      <c r="K13" s="116"/>
      <c r="L13" s="116"/>
      <c r="M13" s="116"/>
    </row>
    <row r="14" spans="1:14" s="1" customFormat="1" ht="14.25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4" s="1" customFormat="1" x14ac:dyDescent="0.25">
      <c r="A15" s="117" t="s">
        <v>9</v>
      </c>
      <c r="B15" s="118"/>
      <c r="C15" s="40" t="s">
        <v>10</v>
      </c>
      <c r="D15" s="113" t="s">
        <v>11</v>
      </c>
      <c r="E15" s="113"/>
      <c r="F15" s="39" t="s">
        <v>12</v>
      </c>
      <c r="G15" s="2" t="s">
        <v>13</v>
      </c>
      <c r="H15" s="41" t="s">
        <v>126</v>
      </c>
      <c r="I15" s="41" t="s">
        <v>127</v>
      </c>
      <c r="J15" s="41" t="s">
        <v>128</v>
      </c>
      <c r="K15" s="41" t="s">
        <v>129</v>
      </c>
      <c r="L15" s="41" t="s">
        <v>130</v>
      </c>
      <c r="M15" s="41" t="s">
        <v>131</v>
      </c>
      <c r="N15" s="3"/>
    </row>
    <row r="16" spans="1:14" s="1" customFormat="1" x14ac:dyDescent="0.25">
      <c r="A16" s="113" t="s">
        <v>20</v>
      </c>
      <c r="B16" s="113"/>
      <c r="C16" s="39">
        <v>100</v>
      </c>
      <c r="D16" s="4" t="s">
        <v>21</v>
      </c>
      <c r="E16" s="5"/>
      <c r="F16" s="5"/>
      <c r="G16" s="5"/>
      <c r="H16" s="5"/>
      <c r="I16" s="5"/>
      <c r="J16" s="5"/>
      <c r="K16" s="5"/>
      <c r="L16" s="5"/>
      <c r="M16" s="6"/>
      <c r="N16" s="3"/>
    </row>
    <row r="17" spans="1:14" s="1" customFormat="1" x14ac:dyDescent="0.25">
      <c r="A17" s="41">
        <v>1</v>
      </c>
      <c r="B17" s="41"/>
      <c r="C17" s="39">
        <v>50</v>
      </c>
      <c r="D17" s="4" t="s">
        <v>22</v>
      </c>
      <c r="E17" s="5"/>
      <c r="F17" s="5"/>
      <c r="G17" s="5"/>
      <c r="H17" s="5"/>
      <c r="I17" s="5"/>
      <c r="J17" s="5"/>
      <c r="K17" s="5"/>
      <c r="L17" s="5"/>
      <c r="M17" s="6"/>
      <c r="N17" s="3"/>
    </row>
    <row r="18" spans="1:14" s="1" customFormat="1" ht="15" customHeight="1" x14ac:dyDescent="0.2">
      <c r="A18" s="95" t="s">
        <v>23</v>
      </c>
      <c r="B18" s="95"/>
      <c r="C18" s="42"/>
      <c r="D18" s="43" t="s">
        <v>24</v>
      </c>
      <c r="E18" s="7"/>
      <c r="F18" s="7"/>
      <c r="G18" s="37"/>
      <c r="H18" s="38"/>
      <c r="I18" s="38"/>
      <c r="J18" s="38"/>
      <c r="K18" s="38"/>
      <c r="L18" s="38"/>
      <c r="M18" s="38"/>
      <c r="N18" s="3"/>
    </row>
    <row r="19" spans="1:14" s="1" customFormat="1" ht="15" customHeight="1" x14ac:dyDescent="0.2">
      <c r="A19" s="96"/>
      <c r="B19" s="96">
        <v>1</v>
      </c>
      <c r="C19" s="96">
        <v>20</v>
      </c>
      <c r="D19" s="104" t="s">
        <v>25</v>
      </c>
      <c r="E19" s="7" t="s">
        <v>26</v>
      </c>
      <c r="F19" s="8" t="s">
        <v>27</v>
      </c>
      <c r="G19" s="9">
        <v>20</v>
      </c>
      <c r="H19" s="92">
        <v>20</v>
      </c>
      <c r="I19" s="92">
        <v>10</v>
      </c>
      <c r="J19" s="92">
        <v>10</v>
      </c>
      <c r="K19" s="92">
        <v>10</v>
      </c>
      <c r="L19" s="92">
        <v>10</v>
      </c>
      <c r="M19" s="92">
        <v>10</v>
      </c>
      <c r="N19" s="3"/>
    </row>
    <row r="20" spans="1:14" s="1" customFormat="1" ht="15" customHeight="1" x14ac:dyDescent="0.2">
      <c r="A20" s="97"/>
      <c r="B20" s="97"/>
      <c r="C20" s="97"/>
      <c r="D20" s="104"/>
      <c r="E20" s="7" t="s">
        <v>28</v>
      </c>
      <c r="F20" s="8"/>
      <c r="G20" s="9">
        <v>10</v>
      </c>
      <c r="H20" s="93"/>
      <c r="I20" s="93"/>
      <c r="J20" s="93"/>
      <c r="K20" s="93"/>
      <c r="L20" s="93"/>
      <c r="M20" s="93"/>
      <c r="N20" s="3"/>
    </row>
    <row r="21" spans="1:14" s="1" customFormat="1" ht="15" customHeight="1" x14ac:dyDescent="0.2">
      <c r="A21" s="97"/>
      <c r="B21" s="102"/>
      <c r="C21" s="102"/>
      <c r="D21" s="104"/>
      <c r="E21" s="7" t="s">
        <v>29</v>
      </c>
      <c r="F21" s="8"/>
      <c r="G21" s="9">
        <v>0</v>
      </c>
      <c r="H21" s="94"/>
      <c r="I21" s="94"/>
      <c r="J21" s="94"/>
      <c r="K21" s="94"/>
      <c r="L21" s="94"/>
      <c r="M21" s="94"/>
      <c r="N21" s="3"/>
    </row>
    <row r="22" spans="1:14" s="1" customFormat="1" ht="15" customHeight="1" x14ac:dyDescent="0.2">
      <c r="A22" s="97"/>
      <c r="B22" s="96">
        <v>2</v>
      </c>
      <c r="C22" s="96">
        <v>20</v>
      </c>
      <c r="D22" s="104" t="s">
        <v>30</v>
      </c>
      <c r="E22" s="7" t="s">
        <v>31</v>
      </c>
      <c r="F22" s="8" t="s">
        <v>27</v>
      </c>
      <c r="G22" s="9">
        <v>20</v>
      </c>
      <c r="H22" s="92">
        <v>20</v>
      </c>
      <c r="I22" s="92">
        <v>20</v>
      </c>
      <c r="J22" s="92">
        <v>20</v>
      </c>
      <c r="K22" s="92">
        <v>20</v>
      </c>
      <c r="L22" s="92">
        <v>20</v>
      </c>
      <c r="M22" s="92">
        <v>20</v>
      </c>
      <c r="N22" s="3"/>
    </row>
    <row r="23" spans="1:14" s="1" customFormat="1" ht="15" customHeight="1" x14ac:dyDescent="0.2">
      <c r="A23" s="97"/>
      <c r="B23" s="97"/>
      <c r="C23" s="97"/>
      <c r="D23" s="104"/>
      <c r="E23" s="7" t="s">
        <v>32</v>
      </c>
      <c r="F23" s="8"/>
      <c r="G23" s="9">
        <v>10</v>
      </c>
      <c r="H23" s="93"/>
      <c r="I23" s="93"/>
      <c r="J23" s="93"/>
      <c r="K23" s="93"/>
      <c r="L23" s="93"/>
      <c r="M23" s="93"/>
      <c r="N23" s="3"/>
    </row>
    <row r="24" spans="1:14" s="1" customFormat="1" ht="15" customHeight="1" x14ac:dyDescent="0.2">
      <c r="A24" s="102"/>
      <c r="B24" s="102"/>
      <c r="C24" s="102"/>
      <c r="D24" s="104"/>
      <c r="E24" s="7" t="s">
        <v>33</v>
      </c>
      <c r="F24" s="10"/>
      <c r="G24" s="11">
        <v>0</v>
      </c>
      <c r="H24" s="94"/>
      <c r="I24" s="94"/>
      <c r="J24" s="94"/>
      <c r="K24" s="94"/>
      <c r="L24" s="94"/>
      <c r="M24" s="94"/>
      <c r="N24" s="3"/>
    </row>
    <row r="25" spans="1:14" s="1" customFormat="1" ht="15" customHeight="1" x14ac:dyDescent="0.2">
      <c r="A25" s="109" t="s">
        <v>34</v>
      </c>
      <c r="B25" s="110"/>
      <c r="C25" s="12"/>
      <c r="D25" s="13" t="s">
        <v>35</v>
      </c>
      <c r="E25" s="7"/>
      <c r="F25" s="7"/>
      <c r="G25" s="37"/>
      <c r="H25" s="37"/>
      <c r="I25" s="37"/>
      <c r="J25" s="37"/>
      <c r="K25" s="37"/>
      <c r="L25" s="37"/>
      <c r="M25" s="37"/>
      <c r="N25" s="3"/>
    </row>
    <row r="26" spans="1:14" s="1" customFormat="1" ht="15" customHeight="1" x14ac:dyDescent="0.2">
      <c r="A26" s="96"/>
      <c r="B26" s="97">
        <v>3</v>
      </c>
      <c r="C26" s="96">
        <v>10</v>
      </c>
      <c r="D26" s="111" t="s">
        <v>36</v>
      </c>
      <c r="E26" s="14" t="s">
        <v>37</v>
      </c>
      <c r="F26" s="14" t="s">
        <v>27</v>
      </c>
      <c r="G26" s="37">
        <v>10</v>
      </c>
      <c r="H26" s="92">
        <v>10</v>
      </c>
      <c r="I26" s="92">
        <v>10</v>
      </c>
      <c r="J26" s="92">
        <v>10</v>
      </c>
      <c r="K26" s="92">
        <v>10</v>
      </c>
      <c r="L26" s="92">
        <v>10</v>
      </c>
      <c r="M26" s="92">
        <v>10</v>
      </c>
      <c r="N26" s="3"/>
    </row>
    <row r="27" spans="1:14" s="1" customFormat="1" ht="15" customHeight="1" x14ac:dyDescent="0.2">
      <c r="A27" s="97"/>
      <c r="B27" s="97"/>
      <c r="C27" s="97"/>
      <c r="D27" s="111"/>
      <c r="E27" s="14" t="s">
        <v>38</v>
      </c>
      <c r="F27" s="14"/>
      <c r="G27" s="37">
        <v>5</v>
      </c>
      <c r="H27" s="93"/>
      <c r="I27" s="93"/>
      <c r="J27" s="93"/>
      <c r="K27" s="93"/>
      <c r="L27" s="93"/>
      <c r="M27" s="93"/>
      <c r="N27" s="3"/>
    </row>
    <row r="28" spans="1:14" s="1" customFormat="1" ht="15" customHeight="1" x14ac:dyDescent="0.2">
      <c r="A28" s="97"/>
      <c r="B28" s="102"/>
      <c r="C28" s="102"/>
      <c r="D28" s="112"/>
      <c r="E28" s="14" t="s">
        <v>39</v>
      </c>
      <c r="F28" s="14"/>
      <c r="G28" s="37">
        <v>0</v>
      </c>
      <c r="H28" s="94"/>
      <c r="I28" s="94"/>
      <c r="J28" s="94"/>
      <c r="K28" s="94"/>
      <c r="L28" s="94"/>
      <c r="M28" s="94"/>
      <c r="N28" s="3"/>
    </row>
    <row r="29" spans="1:14" s="1" customFormat="1" x14ac:dyDescent="0.25">
      <c r="A29" s="15">
        <v>2</v>
      </c>
      <c r="B29" s="16"/>
      <c r="C29" s="17">
        <v>10</v>
      </c>
      <c r="D29" s="18" t="s">
        <v>40</v>
      </c>
      <c r="E29" s="19"/>
      <c r="F29" s="19"/>
      <c r="G29" s="20"/>
      <c r="H29" s="21"/>
      <c r="I29" s="21"/>
      <c r="J29" s="21"/>
      <c r="K29" s="21"/>
      <c r="L29" s="21"/>
      <c r="M29" s="40"/>
      <c r="N29" s="3"/>
    </row>
    <row r="30" spans="1:14" s="1" customFormat="1" ht="14.25" customHeight="1" x14ac:dyDescent="0.2">
      <c r="A30" s="105"/>
      <c r="B30" s="95">
        <v>4</v>
      </c>
      <c r="C30" s="96">
        <v>10</v>
      </c>
      <c r="D30" s="106" t="s">
        <v>41</v>
      </c>
      <c r="E30" s="22" t="s">
        <v>42</v>
      </c>
      <c r="F30" s="22" t="s">
        <v>43</v>
      </c>
      <c r="G30" s="37">
        <v>10</v>
      </c>
      <c r="H30" s="92">
        <v>10</v>
      </c>
      <c r="I30" s="92">
        <v>10</v>
      </c>
      <c r="J30" s="92">
        <v>10</v>
      </c>
      <c r="K30" s="92">
        <v>10</v>
      </c>
      <c r="L30" s="92">
        <v>10</v>
      </c>
      <c r="M30" s="92">
        <v>10</v>
      </c>
      <c r="N30" s="3"/>
    </row>
    <row r="31" spans="1:14" s="1" customFormat="1" ht="14.25" x14ac:dyDescent="0.2">
      <c r="A31" s="105"/>
      <c r="B31" s="95"/>
      <c r="C31" s="97"/>
      <c r="D31" s="107"/>
      <c r="E31" s="22" t="s">
        <v>44</v>
      </c>
      <c r="F31" s="22"/>
      <c r="G31" s="37">
        <v>5</v>
      </c>
      <c r="H31" s="93"/>
      <c r="I31" s="93"/>
      <c r="J31" s="93"/>
      <c r="K31" s="93"/>
      <c r="L31" s="93"/>
      <c r="M31" s="93"/>
      <c r="N31" s="3"/>
    </row>
    <row r="32" spans="1:14" s="1" customFormat="1" ht="14.25" x14ac:dyDescent="0.2">
      <c r="A32" s="105"/>
      <c r="B32" s="95"/>
      <c r="C32" s="102"/>
      <c r="D32" s="108"/>
      <c r="E32" s="22" t="s">
        <v>45</v>
      </c>
      <c r="F32" s="22"/>
      <c r="G32" s="37">
        <v>0</v>
      </c>
      <c r="H32" s="94"/>
      <c r="I32" s="94"/>
      <c r="J32" s="94"/>
      <c r="K32" s="94"/>
      <c r="L32" s="94"/>
      <c r="M32" s="94"/>
      <c r="N32" s="3"/>
    </row>
    <row r="33" spans="1:14" s="1" customFormat="1" x14ac:dyDescent="0.25">
      <c r="A33" s="16">
        <v>3</v>
      </c>
      <c r="B33" s="16"/>
      <c r="C33" s="17">
        <v>40</v>
      </c>
      <c r="D33" s="18" t="s">
        <v>46</v>
      </c>
      <c r="E33" s="23"/>
      <c r="F33" s="23"/>
      <c r="G33" s="24"/>
      <c r="H33" s="25"/>
      <c r="I33" s="25"/>
      <c r="J33" s="25"/>
      <c r="K33" s="25"/>
      <c r="L33" s="25"/>
      <c r="M33" s="26"/>
      <c r="N33" s="3"/>
    </row>
    <row r="34" spans="1:14" s="1" customFormat="1" ht="14.25" x14ac:dyDescent="0.2">
      <c r="A34" s="44"/>
      <c r="B34" s="95">
        <v>6</v>
      </c>
      <c r="C34" s="96">
        <v>20</v>
      </c>
      <c r="D34" s="104" t="s">
        <v>47</v>
      </c>
      <c r="E34" s="7" t="s">
        <v>48</v>
      </c>
      <c r="F34" s="7" t="s">
        <v>49</v>
      </c>
      <c r="G34" s="37">
        <v>20</v>
      </c>
      <c r="H34" s="92">
        <v>20</v>
      </c>
      <c r="I34" s="92">
        <v>20</v>
      </c>
      <c r="J34" s="92">
        <v>20</v>
      </c>
      <c r="K34" s="92">
        <v>20</v>
      </c>
      <c r="L34" s="92">
        <v>20</v>
      </c>
      <c r="M34" s="92">
        <v>20</v>
      </c>
      <c r="N34" s="3"/>
    </row>
    <row r="35" spans="1:14" s="1" customFormat="1" ht="14.25" x14ac:dyDescent="0.2">
      <c r="A35" s="27"/>
      <c r="B35" s="95"/>
      <c r="C35" s="97"/>
      <c r="D35" s="104"/>
      <c r="E35" s="7" t="s">
        <v>50</v>
      </c>
      <c r="F35" s="7"/>
      <c r="G35" s="37">
        <v>10</v>
      </c>
      <c r="H35" s="93"/>
      <c r="I35" s="93"/>
      <c r="J35" s="93"/>
      <c r="K35" s="93"/>
      <c r="L35" s="93"/>
      <c r="M35" s="93"/>
      <c r="N35" s="3"/>
    </row>
    <row r="36" spans="1:14" s="1" customFormat="1" x14ac:dyDescent="0.25">
      <c r="A36" s="16"/>
      <c r="B36" s="95"/>
      <c r="C36" s="102"/>
      <c r="D36" s="104"/>
      <c r="E36" s="7" t="s">
        <v>51</v>
      </c>
      <c r="F36" s="7"/>
      <c r="G36" s="37">
        <v>0</v>
      </c>
      <c r="H36" s="94"/>
      <c r="I36" s="94"/>
      <c r="J36" s="94"/>
      <c r="K36" s="94"/>
      <c r="L36" s="94"/>
      <c r="M36" s="94"/>
      <c r="N36" s="3"/>
    </row>
    <row r="37" spans="1:14" s="1" customFormat="1" ht="14.25" x14ac:dyDescent="0.2">
      <c r="A37" s="100"/>
      <c r="B37" s="95">
        <v>7</v>
      </c>
      <c r="C37" s="96">
        <v>10</v>
      </c>
      <c r="D37" s="98" t="s">
        <v>52</v>
      </c>
      <c r="E37" s="7" t="s">
        <v>53</v>
      </c>
      <c r="F37" s="7"/>
      <c r="G37" s="37">
        <v>10</v>
      </c>
      <c r="H37" s="92">
        <v>10</v>
      </c>
      <c r="I37" s="92">
        <v>10</v>
      </c>
      <c r="J37" s="92">
        <v>10</v>
      </c>
      <c r="K37" s="92">
        <v>10</v>
      </c>
      <c r="L37" s="92">
        <v>10</v>
      </c>
      <c r="M37" s="92">
        <v>10</v>
      </c>
      <c r="N37" s="3"/>
    </row>
    <row r="38" spans="1:14" s="1" customFormat="1" ht="14.25" x14ac:dyDescent="0.2">
      <c r="A38" s="101"/>
      <c r="B38" s="95"/>
      <c r="C38" s="97"/>
      <c r="D38" s="99"/>
      <c r="E38" s="28" t="s">
        <v>54</v>
      </c>
      <c r="F38" s="28"/>
      <c r="G38" s="37">
        <v>5</v>
      </c>
      <c r="H38" s="93"/>
      <c r="I38" s="93"/>
      <c r="J38" s="93"/>
      <c r="K38" s="93"/>
      <c r="L38" s="93"/>
      <c r="M38" s="93"/>
      <c r="N38" s="3"/>
    </row>
    <row r="39" spans="1:14" s="1" customFormat="1" ht="14.25" x14ac:dyDescent="0.2">
      <c r="A39" s="101"/>
      <c r="B39" s="95"/>
      <c r="C39" s="102"/>
      <c r="D39" s="103"/>
      <c r="E39" s="28" t="s">
        <v>55</v>
      </c>
      <c r="F39" s="28"/>
      <c r="G39" s="37">
        <v>0</v>
      </c>
      <c r="H39" s="94"/>
      <c r="I39" s="94"/>
      <c r="J39" s="94"/>
      <c r="K39" s="94"/>
      <c r="L39" s="94"/>
      <c r="M39" s="94"/>
      <c r="N39" s="3"/>
    </row>
    <row r="40" spans="1:14" s="1" customFormat="1" ht="14.25" x14ac:dyDescent="0.2">
      <c r="A40" s="101"/>
      <c r="B40" s="95">
        <v>8</v>
      </c>
      <c r="C40" s="96">
        <v>10</v>
      </c>
      <c r="D40" s="98" t="s">
        <v>56</v>
      </c>
      <c r="E40" s="28" t="s">
        <v>57</v>
      </c>
      <c r="F40" s="28"/>
      <c r="G40" s="37">
        <v>10</v>
      </c>
      <c r="H40" s="92">
        <v>10</v>
      </c>
      <c r="I40" s="92">
        <v>10</v>
      </c>
      <c r="J40" s="92">
        <v>10</v>
      </c>
      <c r="K40" s="92">
        <v>10</v>
      </c>
      <c r="L40" s="92">
        <v>10</v>
      </c>
      <c r="M40" s="92">
        <v>10</v>
      </c>
      <c r="N40" s="3"/>
    </row>
    <row r="41" spans="1:14" s="1" customFormat="1" ht="14.25" x14ac:dyDescent="0.2">
      <c r="A41" s="101"/>
      <c r="B41" s="95"/>
      <c r="C41" s="97"/>
      <c r="D41" s="99"/>
      <c r="E41" s="28" t="s">
        <v>58</v>
      </c>
      <c r="F41" s="28"/>
      <c r="G41" s="37">
        <v>5</v>
      </c>
      <c r="H41" s="93"/>
      <c r="I41" s="93"/>
      <c r="J41" s="93"/>
      <c r="K41" s="93"/>
      <c r="L41" s="93"/>
      <c r="M41" s="93"/>
      <c r="N41" s="3"/>
    </row>
    <row r="42" spans="1:14" s="1" customFormat="1" ht="14.25" x14ac:dyDescent="0.2">
      <c r="A42" s="101"/>
      <c r="B42" s="96"/>
      <c r="C42" s="97"/>
      <c r="D42" s="99"/>
      <c r="E42" s="28" t="s">
        <v>59</v>
      </c>
      <c r="F42" s="28"/>
      <c r="G42" s="37">
        <v>0</v>
      </c>
      <c r="H42" s="94"/>
      <c r="I42" s="94"/>
      <c r="J42" s="94"/>
      <c r="K42" s="94"/>
      <c r="L42" s="94"/>
      <c r="M42" s="94"/>
      <c r="N42" s="3"/>
    </row>
    <row r="43" spans="1:14" s="1" customFormat="1" ht="15" customHeight="1" x14ac:dyDescent="0.25">
      <c r="A43" s="88" t="s">
        <v>60</v>
      </c>
      <c r="B43" s="89"/>
      <c r="C43" s="89"/>
      <c r="D43" s="89"/>
      <c r="E43" s="89"/>
      <c r="F43" s="89"/>
      <c r="G43" s="89"/>
      <c r="H43" s="41">
        <f t="shared" ref="H43:M43" si="0">SUM(H19:H42)</f>
        <v>100</v>
      </c>
      <c r="I43" s="41">
        <f t="shared" si="0"/>
        <v>90</v>
      </c>
      <c r="J43" s="41">
        <f t="shared" si="0"/>
        <v>90</v>
      </c>
      <c r="K43" s="41">
        <f t="shared" si="0"/>
        <v>90</v>
      </c>
      <c r="L43" s="41">
        <f t="shared" si="0"/>
        <v>90</v>
      </c>
      <c r="M43" s="41">
        <f t="shared" si="0"/>
        <v>90</v>
      </c>
    </row>
    <row r="44" spans="1:14" s="1" customFormat="1" ht="15" customHeight="1" x14ac:dyDescent="0.25">
      <c r="A44" s="88" t="s">
        <v>61</v>
      </c>
      <c r="B44" s="89"/>
      <c r="C44" s="89"/>
      <c r="D44" s="89"/>
      <c r="E44" s="89"/>
      <c r="F44" s="89"/>
      <c r="G44" s="89"/>
      <c r="H44" s="41"/>
      <c r="I44" s="41"/>
      <c r="J44" s="41"/>
      <c r="K44" s="41"/>
      <c r="L44" s="41"/>
      <c r="M44" s="41"/>
    </row>
    <row r="45" spans="1:14" s="1" customFormat="1" ht="15" customHeight="1" x14ac:dyDescent="0.2">
      <c r="A45" s="90" t="s">
        <v>121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4" s="1" customFormat="1" ht="15" customHeight="1" x14ac:dyDescent="0.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14" s="1" customFormat="1" ht="13.9" customHeight="1" x14ac:dyDescent="0.2">
      <c r="A47" s="84" t="s">
        <v>96</v>
      </c>
      <c r="B47" s="85"/>
      <c r="C47" s="59"/>
      <c r="E47" s="29"/>
      <c r="F47" s="30"/>
      <c r="G47" s="31"/>
      <c r="H47" s="36"/>
      <c r="I47" s="36"/>
      <c r="J47" s="36"/>
      <c r="K47" s="36"/>
      <c r="L47" s="36"/>
      <c r="M47" s="36"/>
    </row>
    <row r="48" spans="1:14" s="1" customFormat="1" ht="14.45" customHeight="1" x14ac:dyDescent="0.2">
      <c r="A48" s="86"/>
      <c r="B48" s="87"/>
      <c r="C48" s="59"/>
      <c r="E48" s="29"/>
      <c r="F48" s="30"/>
      <c r="G48" s="31"/>
      <c r="H48" s="36"/>
      <c r="I48" s="36"/>
      <c r="J48" s="36"/>
      <c r="K48" s="36"/>
      <c r="L48" s="36"/>
      <c r="M48" s="36"/>
    </row>
    <row r="49" spans="1:13" s="1" customFormat="1" ht="15" customHeight="1" x14ac:dyDescent="0.2">
      <c r="A49" s="86"/>
      <c r="B49" s="87"/>
      <c r="C49" s="59"/>
      <c r="D49" s="57"/>
      <c r="E49" s="52" t="s">
        <v>77</v>
      </c>
      <c r="F49" s="54"/>
      <c r="G49" s="55"/>
      <c r="H49" s="56"/>
      <c r="I49" s="56"/>
      <c r="J49" s="56"/>
      <c r="K49" s="56"/>
      <c r="L49" s="56"/>
      <c r="M49" s="56"/>
    </row>
    <row r="50" spans="1:13" x14ac:dyDescent="0.25">
      <c r="A50" s="86"/>
      <c r="B50" s="87"/>
      <c r="C50" s="62">
        <v>1</v>
      </c>
      <c r="D50" s="67">
        <v>15</v>
      </c>
      <c r="E50" s="66" t="s">
        <v>80</v>
      </c>
      <c r="F50" s="46" t="s">
        <v>102</v>
      </c>
      <c r="G50" s="46">
        <v>5</v>
      </c>
      <c r="H50" s="66">
        <v>5</v>
      </c>
      <c r="I50" s="66">
        <v>5</v>
      </c>
      <c r="J50" s="66">
        <v>5</v>
      </c>
      <c r="K50" s="66">
        <v>5</v>
      </c>
      <c r="L50" s="66">
        <v>5</v>
      </c>
      <c r="M50" s="66">
        <v>5</v>
      </c>
    </row>
    <row r="51" spans="1:13" x14ac:dyDescent="0.25">
      <c r="A51" s="86"/>
      <c r="B51" s="87"/>
      <c r="C51" s="62"/>
      <c r="D51" s="67"/>
      <c r="E51" s="68"/>
      <c r="F51" s="46" t="s">
        <v>103</v>
      </c>
      <c r="G51" s="46">
        <v>0</v>
      </c>
      <c r="H51" s="67"/>
      <c r="I51" s="67"/>
      <c r="J51" s="67"/>
      <c r="K51" s="67"/>
      <c r="L51" s="67"/>
      <c r="M51" s="67"/>
    </row>
    <row r="52" spans="1:13" x14ac:dyDescent="0.25">
      <c r="A52" s="86"/>
      <c r="B52" s="87"/>
      <c r="C52" s="62">
        <v>2</v>
      </c>
      <c r="D52" s="67"/>
      <c r="E52" s="66" t="s">
        <v>78</v>
      </c>
      <c r="F52" s="46" t="s">
        <v>104</v>
      </c>
      <c r="G52" s="46">
        <v>5</v>
      </c>
      <c r="H52" s="66">
        <v>5</v>
      </c>
      <c r="I52" s="66">
        <v>5</v>
      </c>
      <c r="J52" s="66">
        <v>5</v>
      </c>
      <c r="K52" s="66">
        <v>5</v>
      </c>
      <c r="L52" s="66">
        <v>5</v>
      </c>
      <c r="M52" s="66">
        <v>5</v>
      </c>
    </row>
    <row r="53" spans="1:13" x14ac:dyDescent="0.25">
      <c r="A53" s="86"/>
      <c r="B53" s="87"/>
      <c r="C53" s="62"/>
      <c r="D53" s="67"/>
      <c r="E53" s="68"/>
      <c r="F53" s="46" t="s">
        <v>105</v>
      </c>
      <c r="G53" s="46">
        <v>0</v>
      </c>
      <c r="H53" s="67"/>
      <c r="I53" s="67"/>
      <c r="J53" s="67"/>
      <c r="K53" s="67"/>
      <c r="L53" s="67"/>
      <c r="M53" s="67"/>
    </row>
    <row r="54" spans="1:13" x14ac:dyDescent="0.25">
      <c r="A54" s="86"/>
      <c r="B54" s="87"/>
      <c r="C54" s="62">
        <v>3</v>
      </c>
      <c r="D54" s="67"/>
      <c r="E54" s="66" t="s">
        <v>79</v>
      </c>
      <c r="F54" s="46" t="s">
        <v>106</v>
      </c>
      <c r="G54" s="46">
        <v>5</v>
      </c>
      <c r="H54" s="66">
        <v>5</v>
      </c>
      <c r="I54" s="66">
        <v>5</v>
      </c>
      <c r="J54" s="66">
        <v>5</v>
      </c>
      <c r="K54" s="66">
        <v>5</v>
      </c>
      <c r="L54" s="66">
        <v>5</v>
      </c>
      <c r="M54" s="66">
        <v>5</v>
      </c>
    </row>
    <row r="55" spans="1:13" x14ac:dyDescent="0.25">
      <c r="A55" s="86"/>
      <c r="B55" s="87"/>
      <c r="C55" s="62"/>
      <c r="D55" s="67"/>
      <c r="E55" s="67"/>
      <c r="F55" s="46" t="s">
        <v>107</v>
      </c>
      <c r="G55" s="46">
        <v>2.5</v>
      </c>
      <c r="H55" s="67"/>
      <c r="I55" s="67"/>
      <c r="J55" s="67"/>
      <c r="K55" s="67"/>
      <c r="L55" s="67"/>
      <c r="M55" s="67"/>
    </row>
    <row r="56" spans="1:13" x14ac:dyDescent="0.25">
      <c r="A56" s="86"/>
      <c r="B56" s="87"/>
      <c r="C56" s="62"/>
      <c r="D56" s="67"/>
      <c r="E56" s="68"/>
      <c r="F56" s="46" t="s">
        <v>108</v>
      </c>
      <c r="G56" s="46">
        <v>0</v>
      </c>
      <c r="H56" s="67"/>
      <c r="I56" s="67"/>
      <c r="J56" s="67"/>
      <c r="K56" s="67"/>
      <c r="L56" s="67"/>
      <c r="M56" s="67"/>
    </row>
    <row r="57" spans="1:13" x14ac:dyDescent="0.25">
      <c r="A57" s="86"/>
      <c r="B57" s="87"/>
      <c r="C57" s="59"/>
      <c r="D57" s="58"/>
      <c r="E57" s="52" t="s">
        <v>82</v>
      </c>
      <c r="F57" s="50"/>
      <c r="G57" s="50"/>
      <c r="H57" s="51"/>
      <c r="I57" s="51"/>
      <c r="J57" s="51"/>
      <c r="K57" s="51"/>
      <c r="L57" s="51"/>
      <c r="M57" s="51"/>
    </row>
    <row r="58" spans="1:13" x14ac:dyDescent="0.25">
      <c r="A58" s="86"/>
      <c r="B58" s="87"/>
      <c r="C58" s="62">
        <v>4</v>
      </c>
      <c r="D58" s="67">
        <v>65</v>
      </c>
      <c r="E58" s="69" t="s">
        <v>113</v>
      </c>
      <c r="F58" s="46" t="s">
        <v>89</v>
      </c>
      <c r="G58" s="46">
        <v>10</v>
      </c>
      <c r="H58" s="66">
        <v>5</v>
      </c>
      <c r="I58" s="66">
        <v>5</v>
      </c>
      <c r="J58" s="66">
        <v>5</v>
      </c>
      <c r="K58" s="66">
        <v>5</v>
      </c>
      <c r="L58" s="66">
        <v>5</v>
      </c>
      <c r="M58" s="66">
        <v>5</v>
      </c>
    </row>
    <row r="59" spans="1:13" x14ac:dyDescent="0.25">
      <c r="A59" s="86"/>
      <c r="B59" s="87"/>
      <c r="C59" s="62"/>
      <c r="D59" s="67"/>
      <c r="E59" s="69"/>
      <c r="F59" s="46" t="s">
        <v>90</v>
      </c>
      <c r="G59" s="46">
        <v>5</v>
      </c>
      <c r="H59" s="67"/>
      <c r="I59" s="67"/>
      <c r="J59" s="67"/>
      <c r="K59" s="67"/>
      <c r="L59" s="67"/>
      <c r="M59" s="67"/>
    </row>
    <row r="60" spans="1:13" x14ac:dyDescent="0.25">
      <c r="A60" s="86"/>
      <c r="B60" s="87"/>
      <c r="C60" s="62"/>
      <c r="D60" s="67"/>
      <c r="E60" s="69"/>
      <c r="F60" s="46" t="s">
        <v>91</v>
      </c>
      <c r="G60" s="46">
        <v>4</v>
      </c>
      <c r="H60" s="67"/>
      <c r="I60" s="67"/>
      <c r="J60" s="67"/>
      <c r="K60" s="67"/>
      <c r="L60" s="67"/>
      <c r="M60" s="67"/>
    </row>
    <row r="61" spans="1:13" x14ac:dyDescent="0.25">
      <c r="A61" s="86"/>
      <c r="B61" s="87"/>
      <c r="C61" s="62"/>
      <c r="D61" s="67"/>
      <c r="E61" s="69"/>
      <c r="F61" s="46" t="s">
        <v>92</v>
      </c>
      <c r="G61" s="46">
        <v>3</v>
      </c>
      <c r="H61" s="67"/>
      <c r="I61" s="67"/>
      <c r="J61" s="67"/>
      <c r="K61" s="67"/>
      <c r="L61" s="67"/>
      <c r="M61" s="67"/>
    </row>
    <row r="62" spans="1:13" x14ac:dyDescent="0.25">
      <c r="A62" s="86"/>
      <c r="B62" s="87"/>
      <c r="C62" s="62"/>
      <c r="D62" s="67"/>
      <c r="E62" s="69"/>
      <c r="F62" s="46" t="s">
        <v>93</v>
      </c>
      <c r="G62" s="46">
        <v>2</v>
      </c>
      <c r="H62" s="67"/>
      <c r="I62" s="67"/>
      <c r="J62" s="67"/>
      <c r="K62" s="67"/>
      <c r="L62" s="67"/>
      <c r="M62" s="67"/>
    </row>
    <row r="63" spans="1:13" x14ac:dyDescent="0.25">
      <c r="A63" s="86"/>
      <c r="B63" s="87"/>
      <c r="C63" s="62"/>
      <c r="D63" s="67"/>
      <c r="E63" s="69"/>
      <c r="F63" s="46" t="s">
        <v>94</v>
      </c>
      <c r="G63" s="46">
        <v>1</v>
      </c>
      <c r="H63" s="68"/>
      <c r="I63" s="68"/>
      <c r="J63" s="68"/>
      <c r="K63" s="68"/>
      <c r="L63" s="68"/>
      <c r="M63" s="68"/>
    </row>
    <row r="64" spans="1:13" x14ac:dyDescent="0.25">
      <c r="A64" s="86"/>
      <c r="B64" s="87"/>
      <c r="C64" s="62">
        <v>5</v>
      </c>
      <c r="D64" s="67"/>
      <c r="E64" s="69" t="s">
        <v>114</v>
      </c>
      <c r="F64" s="46" t="s">
        <v>89</v>
      </c>
      <c r="G64" s="46">
        <v>5</v>
      </c>
      <c r="H64" s="66">
        <v>5</v>
      </c>
      <c r="I64" s="66">
        <v>5</v>
      </c>
      <c r="J64" s="66">
        <v>5</v>
      </c>
      <c r="K64" s="66">
        <v>5</v>
      </c>
      <c r="L64" s="66">
        <v>5</v>
      </c>
      <c r="M64" s="66">
        <v>5</v>
      </c>
    </row>
    <row r="65" spans="1:13" x14ac:dyDescent="0.25">
      <c r="A65" s="86"/>
      <c r="B65" s="87"/>
      <c r="C65" s="62"/>
      <c r="D65" s="67"/>
      <c r="E65" s="69"/>
      <c r="F65" s="46" t="s">
        <v>90</v>
      </c>
      <c r="G65" s="46">
        <v>4</v>
      </c>
      <c r="H65" s="67"/>
      <c r="I65" s="67"/>
      <c r="J65" s="67"/>
      <c r="K65" s="67"/>
      <c r="L65" s="67"/>
      <c r="M65" s="67"/>
    </row>
    <row r="66" spans="1:13" x14ac:dyDescent="0.25">
      <c r="A66" s="86"/>
      <c r="B66" s="87"/>
      <c r="C66" s="62"/>
      <c r="D66" s="67"/>
      <c r="E66" s="69"/>
      <c r="F66" s="46" t="s">
        <v>91</v>
      </c>
      <c r="G66" s="46">
        <v>3</v>
      </c>
      <c r="H66" s="67"/>
      <c r="I66" s="67"/>
      <c r="J66" s="67"/>
      <c r="K66" s="67"/>
      <c r="L66" s="67"/>
      <c r="M66" s="67"/>
    </row>
    <row r="67" spans="1:13" x14ac:dyDescent="0.25">
      <c r="A67" s="86"/>
      <c r="B67" s="87"/>
      <c r="C67" s="62"/>
      <c r="D67" s="67"/>
      <c r="E67" s="69"/>
      <c r="F67" s="46" t="s">
        <v>92</v>
      </c>
      <c r="G67" s="46">
        <v>2</v>
      </c>
      <c r="H67" s="67"/>
      <c r="I67" s="67"/>
      <c r="J67" s="67"/>
      <c r="K67" s="67"/>
      <c r="L67" s="67"/>
      <c r="M67" s="67"/>
    </row>
    <row r="68" spans="1:13" x14ac:dyDescent="0.25">
      <c r="A68" s="86"/>
      <c r="B68" s="87"/>
      <c r="C68" s="62"/>
      <c r="D68" s="67"/>
      <c r="E68" s="69"/>
      <c r="F68" s="46" t="s">
        <v>93</v>
      </c>
      <c r="G68" s="46">
        <v>1</v>
      </c>
      <c r="H68" s="67"/>
      <c r="I68" s="67"/>
      <c r="J68" s="67"/>
      <c r="K68" s="67"/>
      <c r="L68" s="67"/>
      <c r="M68" s="67"/>
    </row>
    <row r="69" spans="1:13" x14ac:dyDescent="0.25">
      <c r="A69" s="86"/>
      <c r="B69" s="87"/>
      <c r="C69" s="62"/>
      <c r="D69" s="67"/>
      <c r="E69" s="69"/>
      <c r="F69" s="46" t="s">
        <v>94</v>
      </c>
      <c r="G69" s="46">
        <v>0</v>
      </c>
      <c r="H69" s="68"/>
      <c r="I69" s="68"/>
      <c r="J69" s="68"/>
      <c r="K69" s="68"/>
      <c r="L69" s="68"/>
      <c r="M69" s="68"/>
    </row>
    <row r="70" spans="1:13" x14ac:dyDescent="0.25">
      <c r="A70" s="86"/>
      <c r="B70" s="87"/>
      <c r="C70" s="62">
        <v>6</v>
      </c>
      <c r="D70" s="67"/>
      <c r="E70" s="69" t="s">
        <v>122</v>
      </c>
      <c r="F70" s="46" t="s">
        <v>89</v>
      </c>
      <c r="G70" s="46">
        <v>5</v>
      </c>
      <c r="H70" s="66">
        <v>5</v>
      </c>
      <c r="I70" s="66">
        <v>5</v>
      </c>
      <c r="J70" s="66">
        <v>5</v>
      </c>
      <c r="K70" s="66">
        <v>5</v>
      </c>
      <c r="L70" s="66">
        <v>5</v>
      </c>
      <c r="M70" s="66">
        <v>5</v>
      </c>
    </row>
    <row r="71" spans="1:13" x14ac:dyDescent="0.25">
      <c r="A71" s="86"/>
      <c r="B71" s="87"/>
      <c r="C71" s="62"/>
      <c r="D71" s="67"/>
      <c r="E71" s="69"/>
      <c r="F71" s="46" t="s">
        <v>90</v>
      </c>
      <c r="G71" s="46">
        <v>4</v>
      </c>
      <c r="H71" s="67"/>
      <c r="I71" s="67"/>
      <c r="J71" s="67"/>
      <c r="K71" s="67"/>
      <c r="L71" s="67"/>
      <c r="M71" s="67"/>
    </row>
    <row r="72" spans="1:13" x14ac:dyDescent="0.25">
      <c r="A72" s="86"/>
      <c r="B72" s="87"/>
      <c r="C72" s="62"/>
      <c r="D72" s="67"/>
      <c r="E72" s="69"/>
      <c r="F72" s="46" t="s">
        <v>91</v>
      </c>
      <c r="G72" s="46">
        <v>3</v>
      </c>
      <c r="H72" s="67"/>
      <c r="I72" s="67"/>
      <c r="J72" s="67"/>
      <c r="K72" s="67"/>
      <c r="L72" s="67"/>
      <c r="M72" s="67"/>
    </row>
    <row r="73" spans="1:13" x14ac:dyDescent="0.25">
      <c r="A73" s="86"/>
      <c r="B73" s="87"/>
      <c r="C73" s="62"/>
      <c r="D73" s="67"/>
      <c r="E73" s="69"/>
      <c r="F73" s="46" t="s">
        <v>92</v>
      </c>
      <c r="G73" s="46">
        <v>2</v>
      </c>
      <c r="H73" s="67"/>
      <c r="I73" s="67"/>
      <c r="J73" s="67"/>
      <c r="K73" s="67"/>
      <c r="L73" s="67"/>
      <c r="M73" s="67"/>
    </row>
    <row r="74" spans="1:13" x14ac:dyDescent="0.25">
      <c r="A74" s="86"/>
      <c r="B74" s="87"/>
      <c r="C74" s="62"/>
      <c r="D74" s="67"/>
      <c r="E74" s="69"/>
      <c r="F74" s="46" t="s">
        <v>93</v>
      </c>
      <c r="G74" s="46">
        <v>1</v>
      </c>
      <c r="H74" s="67"/>
      <c r="I74" s="67"/>
      <c r="J74" s="67"/>
      <c r="K74" s="67"/>
      <c r="L74" s="67"/>
      <c r="M74" s="67"/>
    </row>
    <row r="75" spans="1:13" x14ac:dyDescent="0.25">
      <c r="A75" s="86"/>
      <c r="B75" s="87"/>
      <c r="C75" s="62"/>
      <c r="D75" s="67"/>
      <c r="E75" s="69"/>
      <c r="F75" s="46" t="s">
        <v>94</v>
      </c>
      <c r="G75" s="46">
        <v>0</v>
      </c>
      <c r="H75" s="68"/>
      <c r="I75" s="68"/>
      <c r="J75" s="68"/>
      <c r="K75" s="68"/>
      <c r="L75" s="68"/>
      <c r="M75" s="68"/>
    </row>
    <row r="76" spans="1:13" x14ac:dyDescent="0.25">
      <c r="A76" s="86"/>
      <c r="B76" s="87"/>
      <c r="C76" s="62">
        <v>7</v>
      </c>
      <c r="D76" s="67"/>
      <c r="E76" s="69" t="s">
        <v>81</v>
      </c>
      <c r="F76" s="46" t="s">
        <v>89</v>
      </c>
      <c r="G76" s="46">
        <v>5</v>
      </c>
      <c r="H76" s="66">
        <v>5</v>
      </c>
      <c r="I76" s="66">
        <v>5</v>
      </c>
      <c r="J76" s="66">
        <v>5</v>
      </c>
      <c r="K76" s="66">
        <v>5</v>
      </c>
      <c r="L76" s="66">
        <v>5</v>
      </c>
      <c r="M76" s="66">
        <v>5</v>
      </c>
    </row>
    <row r="77" spans="1:13" x14ac:dyDescent="0.25">
      <c r="A77" s="86"/>
      <c r="B77" s="87"/>
      <c r="C77" s="62"/>
      <c r="D77" s="67"/>
      <c r="E77" s="69"/>
      <c r="F77" s="46" t="s">
        <v>90</v>
      </c>
      <c r="G77" s="46">
        <v>4</v>
      </c>
      <c r="H77" s="67"/>
      <c r="I77" s="67"/>
      <c r="J77" s="67"/>
      <c r="K77" s="67"/>
      <c r="L77" s="67"/>
      <c r="M77" s="67"/>
    </row>
    <row r="78" spans="1:13" x14ac:dyDescent="0.25">
      <c r="A78" s="86"/>
      <c r="B78" s="87"/>
      <c r="C78" s="62"/>
      <c r="D78" s="67"/>
      <c r="E78" s="69"/>
      <c r="F78" s="46" t="s">
        <v>91</v>
      </c>
      <c r="G78" s="46">
        <v>3</v>
      </c>
      <c r="H78" s="67"/>
      <c r="I78" s="67"/>
      <c r="J78" s="67"/>
      <c r="K78" s="67"/>
      <c r="L78" s="67"/>
      <c r="M78" s="67"/>
    </row>
    <row r="79" spans="1:13" x14ac:dyDescent="0.25">
      <c r="A79" s="86"/>
      <c r="B79" s="87"/>
      <c r="C79" s="62"/>
      <c r="D79" s="67"/>
      <c r="E79" s="69"/>
      <c r="F79" s="46" t="s">
        <v>92</v>
      </c>
      <c r="G79" s="46">
        <v>2</v>
      </c>
      <c r="H79" s="67"/>
      <c r="I79" s="67"/>
      <c r="J79" s="67"/>
      <c r="K79" s="67"/>
      <c r="L79" s="67"/>
      <c r="M79" s="67"/>
    </row>
    <row r="80" spans="1:13" x14ac:dyDescent="0.25">
      <c r="A80" s="86"/>
      <c r="B80" s="87"/>
      <c r="C80" s="62"/>
      <c r="D80" s="67"/>
      <c r="E80" s="69"/>
      <c r="F80" s="46" t="s">
        <v>93</v>
      </c>
      <c r="G80" s="46">
        <v>1</v>
      </c>
      <c r="H80" s="67"/>
      <c r="I80" s="67"/>
      <c r="J80" s="67"/>
      <c r="K80" s="67"/>
      <c r="L80" s="67"/>
      <c r="M80" s="67"/>
    </row>
    <row r="81" spans="1:13" x14ac:dyDescent="0.25">
      <c r="A81" s="86"/>
      <c r="B81" s="87"/>
      <c r="C81" s="62"/>
      <c r="D81" s="67"/>
      <c r="E81" s="69"/>
      <c r="F81" s="46" t="s">
        <v>94</v>
      </c>
      <c r="G81" s="46">
        <v>0</v>
      </c>
      <c r="H81" s="68"/>
      <c r="I81" s="68"/>
      <c r="J81" s="68"/>
      <c r="K81" s="68"/>
      <c r="L81" s="68"/>
      <c r="M81" s="68"/>
    </row>
    <row r="82" spans="1:13" x14ac:dyDescent="0.25">
      <c r="A82" s="86"/>
      <c r="B82" s="87"/>
      <c r="C82" s="62">
        <v>8</v>
      </c>
      <c r="D82" s="67"/>
      <c r="E82" s="69" t="s">
        <v>123</v>
      </c>
      <c r="F82" s="46" t="s">
        <v>89</v>
      </c>
      <c r="G82" s="46">
        <v>5</v>
      </c>
      <c r="H82" s="66">
        <v>5</v>
      </c>
      <c r="I82" s="66">
        <v>5</v>
      </c>
      <c r="J82" s="66">
        <v>5</v>
      </c>
      <c r="K82" s="66">
        <v>5</v>
      </c>
      <c r="L82" s="66">
        <v>5</v>
      </c>
      <c r="M82" s="66">
        <v>5</v>
      </c>
    </row>
    <row r="83" spans="1:13" x14ac:dyDescent="0.25">
      <c r="A83" s="86"/>
      <c r="B83" s="87"/>
      <c r="C83" s="62"/>
      <c r="D83" s="67"/>
      <c r="E83" s="69"/>
      <c r="F83" s="46" t="s">
        <v>90</v>
      </c>
      <c r="G83" s="46">
        <v>4</v>
      </c>
      <c r="H83" s="67"/>
      <c r="I83" s="67"/>
      <c r="J83" s="67"/>
      <c r="K83" s="67"/>
      <c r="L83" s="67"/>
      <c r="M83" s="67"/>
    </row>
    <row r="84" spans="1:13" x14ac:dyDescent="0.25">
      <c r="A84" s="86"/>
      <c r="B84" s="87"/>
      <c r="C84" s="62"/>
      <c r="D84" s="67"/>
      <c r="E84" s="69"/>
      <c r="F84" s="46" t="s">
        <v>91</v>
      </c>
      <c r="G84" s="46">
        <v>3</v>
      </c>
      <c r="H84" s="67"/>
      <c r="I84" s="67"/>
      <c r="J84" s="67"/>
      <c r="K84" s="67"/>
      <c r="L84" s="67"/>
      <c r="M84" s="67"/>
    </row>
    <row r="85" spans="1:13" x14ac:dyDescent="0.25">
      <c r="A85" s="86"/>
      <c r="B85" s="87"/>
      <c r="C85" s="62"/>
      <c r="D85" s="67"/>
      <c r="E85" s="69"/>
      <c r="F85" s="46" t="s">
        <v>92</v>
      </c>
      <c r="G85" s="46">
        <v>2</v>
      </c>
      <c r="H85" s="67"/>
      <c r="I85" s="67"/>
      <c r="J85" s="67"/>
      <c r="K85" s="67"/>
      <c r="L85" s="67"/>
      <c r="M85" s="67"/>
    </row>
    <row r="86" spans="1:13" x14ac:dyDescent="0.25">
      <c r="A86" s="86"/>
      <c r="B86" s="87"/>
      <c r="C86" s="62"/>
      <c r="D86" s="67"/>
      <c r="E86" s="69"/>
      <c r="F86" s="46" t="s">
        <v>93</v>
      </c>
      <c r="G86" s="46">
        <v>1</v>
      </c>
      <c r="H86" s="67"/>
      <c r="I86" s="67"/>
      <c r="J86" s="67"/>
      <c r="K86" s="67"/>
      <c r="L86" s="67"/>
      <c r="M86" s="67"/>
    </row>
    <row r="87" spans="1:13" x14ac:dyDescent="0.25">
      <c r="A87" s="86"/>
      <c r="B87" s="87"/>
      <c r="C87" s="62"/>
      <c r="D87" s="67"/>
      <c r="E87" s="69"/>
      <c r="F87" s="46" t="s">
        <v>94</v>
      </c>
      <c r="G87" s="46">
        <v>0</v>
      </c>
      <c r="H87" s="68"/>
      <c r="I87" s="68"/>
      <c r="J87" s="68"/>
      <c r="K87" s="68"/>
      <c r="L87" s="68"/>
      <c r="M87" s="68"/>
    </row>
    <row r="88" spans="1:13" x14ac:dyDescent="0.25">
      <c r="A88" s="86"/>
      <c r="B88" s="87"/>
      <c r="C88" s="62">
        <v>9</v>
      </c>
      <c r="D88" s="67"/>
      <c r="E88" s="69" t="s">
        <v>109</v>
      </c>
      <c r="F88" s="46" t="s">
        <v>89</v>
      </c>
      <c r="G88" s="46">
        <v>5</v>
      </c>
      <c r="H88" s="66">
        <v>5</v>
      </c>
      <c r="I88" s="66">
        <v>5</v>
      </c>
      <c r="J88" s="66">
        <v>5</v>
      </c>
      <c r="K88" s="66">
        <v>5</v>
      </c>
      <c r="L88" s="66">
        <v>5</v>
      </c>
      <c r="M88" s="66">
        <v>5</v>
      </c>
    </row>
    <row r="89" spans="1:13" x14ac:dyDescent="0.25">
      <c r="A89" s="86"/>
      <c r="B89" s="87"/>
      <c r="C89" s="62"/>
      <c r="D89" s="67"/>
      <c r="E89" s="69"/>
      <c r="F89" s="46" t="s">
        <v>90</v>
      </c>
      <c r="G89" s="46">
        <v>4</v>
      </c>
      <c r="H89" s="67"/>
      <c r="I89" s="67"/>
      <c r="J89" s="67"/>
      <c r="K89" s="67"/>
      <c r="L89" s="67"/>
      <c r="M89" s="67"/>
    </row>
    <row r="90" spans="1:13" x14ac:dyDescent="0.25">
      <c r="A90" s="86"/>
      <c r="B90" s="87"/>
      <c r="C90" s="62"/>
      <c r="D90" s="67"/>
      <c r="E90" s="69"/>
      <c r="F90" s="46" t="s">
        <v>91</v>
      </c>
      <c r="G90" s="46">
        <v>3</v>
      </c>
      <c r="H90" s="67"/>
      <c r="I90" s="67"/>
      <c r="J90" s="67"/>
      <c r="K90" s="67"/>
      <c r="L90" s="67"/>
      <c r="M90" s="67"/>
    </row>
    <row r="91" spans="1:13" x14ac:dyDescent="0.25">
      <c r="A91" s="86"/>
      <c r="B91" s="87"/>
      <c r="C91" s="62"/>
      <c r="D91" s="67"/>
      <c r="E91" s="69"/>
      <c r="F91" s="46" t="s">
        <v>92</v>
      </c>
      <c r="G91" s="46">
        <v>2</v>
      </c>
      <c r="H91" s="67"/>
      <c r="I91" s="67"/>
      <c r="J91" s="67"/>
      <c r="K91" s="67"/>
      <c r="L91" s="67"/>
      <c r="M91" s="67"/>
    </row>
    <row r="92" spans="1:13" x14ac:dyDescent="0.25">
      <c r="A92" s="86"/>
      <c r="B92" s="87"/>
      <c r="C92" s="62"/>
      <c r="D92" s="67"/>
      <c r="E92" s="69"/>
      <c r="F92" s="46" t="s">
        <v>93</v>
      </c>
      <c r="G92" s="46">
        <v>1</v>
      </c>
      <c r="H92" s="67"/>
      <c r="I92" s="67"/>
      <c r="J92" s="67"/>
      <c r="K92" s="67"/>
      <c r="L92" s="67"/>
      <c r="M92" s="67"/>
    </row>
    <row r="93" spans="1:13" x14ac:dyDescent="0.25">
      <c r="A93" s="86"/>
      <c r="B93" s="87"/>
      <c r="C93" s="62"/>
      <c r="D93" s="67"/>
      <c r="E93" s="69"/>
      <c r="F93" s="46" t="s">
        <v>94</v>
      </c>
      <c r="G93" s="46">
        <v>0</v>
      </c>
      <c r="H93" s="68"/>
      <c r="I93" s="68"/>
      <c r="J93" s="68"/>
      <c r="K93" s="68"/>
      <c r="L93" s="68"/>
      <c r="M93" s="68"/>
    </row>
    <row r="94" spans="1:13" x14ac:dyDescent="0.25">
      <c r="A94" s="86"/>
      <c r="B94" s="87"/>
      <c r="C94" s="62">
        <v>10</v>
      </c>
      <c r="D94" s="67"/>
      <c r="E94" s="76" t="s">
        <v>88</v>
      </c>
      <c r="F94" s="46" t="s">
        <v>89</v>
      </c>
      <c r="G94" s="46">
        <v>5</v>
      </c>
      <c r="H94" s="66">
        <v>5</v>
      </c>
      <c r="I94" s="66">
        <v>5</v>
      </c>
      <c r="J94" s="66">
        <v>5</v>
      </c>
      <c r="K94" s="66">
        <v>5</v>
      </c>
      <c r="L94" s="66">
        <v>5</v>
      </c>
      <c r="M94" s="66">
        <v>5</v>
      </c>
    </row>
    <row r="95" spans="1:13" x14ac:dyDescent="0.25">
      <c r="A95" s="86"/>
      <c r="B95" s="87"/>
      <c r="C95" s="62"/>
      <c r="D95" s="67"/>
      <c r="E95" s="76"/>
      <c r="F95" s="46" t="s">
        <v>90</v>
      </c>
      <c r="G95" s="46">
        <v>4</v>
      </c>
      <c r="H95" s="67"/>
      <c r="I95" s="67"/>
      <c r="J95" s="67"/>
      <c r="K95" s="67"/>
      <c r="L95" s="67"/>
      <c r="M95" s="67"/>
    </row>
    <row r="96" spans="1:13" x14ac:dyDescent="0.25">
      <c r="A96" s="86"/>
      <c r="B96" s="87"/>
      <c r="C96" s="62"/>
      <c r="D96" s="67"/>
      <c r="E96" s="76"/>
      <c r="F96" s="46" t="s">
        <v>91</v>
      </c>
      <c r="G96" s="46">
        <v>3</v>
      </c>
      <c r="H96" s="67"/>
      <c r="I96" s="67"/>
      <c r="J96" s="67"/>
      <c r="K96" s="67"/>
      <c r="L96" s="67"/>
      <c r="M96" s="67"/>
    </row>
    <row r="97" spans="1:19" x14ac:dyDescent="0.25">
      <c r="A97" s="86"/>
      <c r="B97" s="87"/>
      <c r="C97" s="62"/>
      <c r="D97" s="67"/>
      <c r="E97" s="76"/>
      <c r="F97" s="46" t="s">
        <v>92</v>
      </c>
      <c r="G97" s="46">
        <v>2</v>
      </c>
      <c r="H97" s="67"/>
      <c r="I97" s="67"/>
      <c r="J97" s="67"/>
      <c r="K97" s="67"/>
      <c r="L97" s="67"/>
      <c r="M97" s="67"/>
    </row>
    <row r="98" spans="1:19" x14ac:dyDescent="0.25">
      <c r="A98" s="86"/>
      <c r="B98" s="87"/>
      <c r="C98" s="62"/>
      <c r="D98" s="67"/>
      <c r="E98" s="76"/>
      <c r="F98" s="46" t="s">
        <v>93</v>
      </c>
      <c r="G98" s="46">
        <v>1</v>
      </c>
      <c r="H98" s="67"/>
      <c r="I98" s="67"/>
      <c r="J98" s="67"/>
      <c r="K98" s="67"/>
      <c r="L98" s="67"/>
      <c r="M98" s="67"/>
    </row>
    <row r="99" spans="1:19" x14ac:dyDescent="0.25">
      <c r="A99" s="86"/>
      <c r="B99" s="87"/>
      <c r="C99" s="62"/>
      <c r="D99" s="67"/>
      <c r="E99" s="76"/>
      <c r="F99" s="46" t="s">
        <v>94</v>
      </c>
      <c r="G99" s="46">
        <v>0</v>
      </c>
      <c r="H99" s="68"/>
      <c r="I99" s="68"/>
      <c r="J99" s="68"/>
      <c r="K99" s="68"/>
      <c r="L99" s="68"/>
      <c r="M99" s="68"/>
    </row>
    <row r="100" spans="1:19" x14ac:dyDescent="0.25">
      <c r="A100" s="86"/>
      <c r="B100" s="87"/>
      <c r="C100" s="62">
        <v>11</v>
      </c>
      <c r="D100" s="67"/>
      <c r="E100" s="69" t="s">
        <v>112</v>
      </c>
      <c r="F100" s="46" t="s">
        <v>89</v>
      </c>
      <c r="G100" s="46">
        <v>5</v>
      </c>
      <c r="H100" s="66">
        <v>5</v>
      </c>
      <c r="I100" s="66">
        <v>5</v>
      </c>
      <c r="J100" s="66">
        <v>5</v>
      </c>
      <c r="K100" s="66">
        <v>5</v>
      </c>
      <c r="L100" s="66">
        <v>5</v>
      </c>
      <c r="M100" s="66">
        <v>5</v>
      </c>
    </row>
    <row r="101" spans="1:19" x14ac:dyDescent="0.25">
      <c r="A101" s="86"/>
      <c r="B101" s="87"/>
      <c r="C101" s="62"/>
      <c r="D101" s="67"/>
      <c r="E101" s="69"/>
      <c r="F101" s="46" t="s">
        <v>90</v>
      </c>
      <c r="G101" s="46">
        <v>4</v>
      </c>
      <c r="H101" s="67"/>
      <c r="I101" s="67"/>
      <c r="J101" s="67"/>
      <c r="K101" s="67"/>
      <c r="L101" s="67"/>
      <c r="M101" s="67"/>
    </row>
    <row r="102" spans="1:19" x14ac:dyDescent="0.25">
      <c r="A102" s="86"/>
      <c r="B102" s="87"/>
      <c r="C102" s="62"/>
      <c r="D102" s="67"/>
      <c r="E102" s="69"/>
      <c r="F102" s="46" t="s">
        <v>91</v>
      </c>
      <c r="G102" s="46">
        <v>3</v>
      </c>
      <c r="H102" s="67"/>
      <c r="I102" s="67"/>
      <c r="J102" s="67"/>
      <c r="K102" s="67"/>
      <c r="L102" s="67"/>
      <c r="M102" s="67"/>
    </row>
    <row r="103" spans="1:19" x14ac:dyDescent="0.25">
      <c r="A103" s="86"/>
      <c r="B103" s="87"/>
      <c r="C103" s="62"/>
      <c r="D103" s="67"/>
      <c r="E103" s="69"/>
      <c r="F103" s="46" t="s">
        <v>92</v>
      </c>
      <c r="G103" s="46">
        <v>2</v>
      </c>
      <c r="H103" s="67"/>
      <c r="I103" s="67"/>
      <c r="J103" s="67"/>
      <c r="K103" s="67"/>
      <c r="L103" s="67"/>
      <c r="M103" s="67"/>
    </row>
    <row r="104" spans="1:19" x14ac:dyDescent="0.25">
      <c r="A104" s="86"/>
      <c r="B104" s="87"/>
      <c r="C104" s="62"/>
      <c r="D104" s="67"/>
      <c r="E104" s="69"/>
      <c r="F104" s="46" t="s">
        <v>93</v>
      </c>
      <c r="G104" s="46">
        <v>1</v>
      </c>
      <c r="H104" s="67"/>
      <c r="I104" s="67"/>
      <c r="J104" s="67"/>
      <c r="K104" s="67"/>
      <c r="L104" s="67"/>
      <c r="M104" s="67"/>
    </row>
    <row r="105" spans="1:19" x14ac:dyDescent="0.25">
      <c r="A105" s="86"/>
      <c r="B105" s="87"/>
      <c r="C105" s="62"/>
      <c r="D105" s="67"/>
      <c r="E105" s="69"/>
      <c r="F105" s="46" t="s">
        <v>94</v>
      </c>
      <c r="G105" s="46">
        <v>0</v>
      </c>
      <c r="H105" s="68"/>
      <c r="I105" s="68"/>
      <c r="J105" s="68"/>
      <c r="K105" s="68"/>
      <c r="L105" s="68"/>
      <c r="M105" s="68"/>
    </row>
    <row r="106" spans="1:19" x14ac:dyDescent="0.25">
      <c r="A106" s="86"/>
      <c r="B106" s="87"/>
      <c r="C106" s="62">
        <v>12</v>
      </c>
      <c r="D106" s="67"/>
      <c r="E106" s="69" t="s">
        <v>95</v>
      </c>
      <c r="F106" s="46" t="s">
        <v>89</v>
      </c>
      <c r="G106" s="46">
        <v>5</v>
      </c>
      <c r="H106" s="66">
        <v>5</v>
      </c>
      <c r="I106" s="66">
        <v>5</v>
      </c>
      <c r="J106" s="66">
        <v>5</v>
      </c>
      <c r="K106" s="66">
        <v>5</v>
      </c>
      <c r="L106" s="66">
        <v>5</v>
      </c>
      <c r="M106" s="66">
        <v>5</v>
      </c>
      <c r="Q106" s="47"/>
      <c r="R106" s="48"/>
      <c r="S106" s="48"/>
    </row>
    <row r="107" spans="1:19" x14ac:dyDescent="0.25">
      <c r="A107" s="86"/>
      <c r="B107" s="87"/>
      <c r="C107" s="62"/>
      <c r="D107" s="67"/>
      <c r="E107" s="69"/>
      <c r="F107" s="46" t="s">
        <v>90</v>
      </c>
      <c r="G107" s="46">
        <v>4</v>
      </c>
      <c r="H107" s="67"/>
      <c r="I107" s="67"/>
      <c r="J107" s="67"/>
      <c r="K107" s="67"/>
      <c r="L107" s="67"/>
      <c r="M107" s="67"/>
      <c r="Q107" s="47"/>
      <c r="R107" s="48"/>
      <c r="S107" s="48"/>
    </row>
    <row r="108" spans="1:19" x14ac:dyDescent="0.25">
      <c r="A108" s="86"/>
      <c r="B108" s="87"/>
      <c r="C108" s="62"/>
      <c r="D108" s="67"/>
      <c r="E108" s="69"/>
      <c r="F108" s="46" t="s">
        <v>91</v>
      </c>
      <c r="G108" s="46">
        <v>3</v>
      </c>
      <c r="H108" s="67"/>
      <c r="I108" s="67"/>
      <c r="J108" s="67"/>
      <c r="K108" s="67"/>
      <c r="L108" s="67"/>
      <c r="M108" s="67"/>
      <c r="Q108" s="47"/>
      <c r="R108" s="48"/>
      <c r="S108" s="48"/>
    </row>
    <row r="109" spans="1:19" x14ac:dyDescent="0.25">
      <c r="A109" s="86"/>
      <c r="B109" s="87"/>
      <c r="C109" s="62"/>
      <c r="D109" s="67"/>
      <c r="E109" s="69"/>
      <c r="F109" s="46" t="s">
        <v>92</v>
      </c>
      <c r="G109" s="46">
        <v>2</v>
      </c>
      <c r="H109" s="67"/>
      <c r="I109" s="67"/>
      <c r="J109" s="67"/>
      <c r="K109" s="67"/>
      <c r="L109" s="67"/>
      <c r="M109" s="67"/>
      <c r="Q109" s="47"/>
      <c r="R109" s="48"/>
      <c r="S109" s="48"/>
    </row>
    <row r="110" spans="1:19" x14ac:dyDescent="0.25">
      <c r="A110" s="86"/>
      <c r="B110" s="87"/>
      <c r="C110" s="62"/>
      <c r="D110" s="67"/>
      <c r="E110" s="69"/>
      <c r="F110" s="46" t="s">
        <v>93</v>
      </c>
      <c r="G110" s="46">
        <v>1</v>
      </c>
      <c r="H110" s="67"/>
      <c r="I110" s="67"/>
      <c r="J110" s="67"/>
      <c r="K110" s="67"/>
      <c r="L110" s="67"/>
      <c r="M110" s="67"/>
      <c r="Q110" s="47"/>
      <c r="R110" s="48"/>
      <c r="S110" s="48"/>
    </row>
    <row r="111" spans="1:19" x14ac:dyDescent="0.25">
      <c r="A111" s="86"/>
      <c r="B111" s="87"/>
      <c r="C111" s="62"/>
      <c r="D111" s="67"/>
      <c r="E111" s="69"/>
      <c r="F111" s="46" t="s">
        <v>94</v>
      </c>
      <c r="G111" s="46">
        <v>0</v>
      </c>
      <c r="H111" s="68"/>
      <c r="I111" s="68"/>
      <c r="J111" s="68"/>
      <c r="K111" s="68"/>
      <c r="L111" s="68"/>
      <c r="M111" s="68"/>
      <c r="Q111" s="47"/>
      <c r="R111" s="48"/>
      <c r="S111" s="48"/>
    </row>
    <row r="112" spans="1:19" x14ac:dyDescent="0.25">
      <c r="A112" s="86"/>
      <c r="B112" s="87"/>
      <c r="C112" s="62">
        <v>13</v>
      </c>
      <c r="D112" s="67"/>
      <c r="E112" s="69" t="s">
        <v>124</v>
      </c>
      <c r="F112" s="46" t="s">
        <v>89</v>
      </c>
      <c r="G112" s="46">
        <v>5</v>
      </c>
      <c r="H112" s="66">
        <v>5</v>
      </c>
      <c r="I112" s="66">
        <v>5</v>
      </c>
      <c r="J112" s="66">
        <v>5</v>
      </c>
      <c r="K112" s="66">
        <v>5</v>
      </c>
      <c r="L112" s="66">
        <v>5</v>
      </c>
      <c r="M112" s="66">
        <v>5</v>
      </c>
      <c r="Q112" s="47"/>
      <c r="R112" s="48"/>
      <c r="S112" s="48"/>
    </row>
    <row r="113" spans="1:19" x14ac:dyDescent="0.25">
      <c r="A113" s="86"/>
      <c r="B113" s="87"/>
      <c r="C113" s="62"/>
      <c r="D113" s="67"/>
      <c r="E113" s="69"/>
      <c r="F113" s="46" t="s">
        <v>90</v>
      </c>
      <c r="G113" s="46">
        <v>4</v>
      </c>
      <c r="H113" s="67"/>
      <c r="I113" s="67"/>
      <c r="J113" s="67"/>
      <c r="K113" s="67"/>
      <c r="L113" s="67"/>
      <c r="M113" s="67"/>
      <c r="Q113" s="47"/>
      <c r="R113" s="48"/>
      <c r="S113" s="48"/>
    </row>
    <row r="114" spans="1:19" x14ac:dyDescent="0.25">
      <c r="A114" s="86"/>
      <c r="B114" s="87"/>
      <c r="C114" s="62"/>
      <c r="D114" s="67"/>
      <c r="E114" s="69"/>
      <c r="F114" s="46" t="s">
        <v>91</v>
      </c>
      <c r="G114" s="46">
        <v>3</v>
      </c>
      <c r="H114" s="67"/>
      <c r="I114" s="67"/>
      <c r="J114" s="67"/>
      <c r="K114" s="67"/>
      <c r="L114" s="67"/>
      <c r="M114" s="67"/>
      <c r="Q114" s="47"/>
      <c r="R114" s="48"/>
      <c r="S114" s="48"/>
    </row>
    <row r="115" spans="1:19" x14ac:dyDescent="0.25">
      <c r="A115" s="86"/>
      <c r="B115" s="87"/>
      <c r="C115" s="62"/>
      <c r="D115" s="67"/>
      <c r="E115" s="69"/>
      <c r="F115" s="46" t="s">
        <v>92</v>
      </c>
      <c r="G115" s="46">
        <v>2</v>
      </c>
      <c r="H115" s="67"/>
      <c r="I115" s="67"/>
      <c r="J115" s="67"/>
      <c r="K115" s="67"/>
      <c r="L115" s="67"/>
      <c r="M115" s="67"/>
      <c r="Q115" s="47"/>
      <c r="R115" s="48"/>
      <c r="S115" s="48"/>
    </row>
    <row r="116" spans="1:19" x14ac:dyDescent="0.25">
      <c r="A116" s="86"/>
      <c r="B116" s="87"/>
      <c r="C116" s="62"/>
      <c r="D116" s="67"/>
      <c r="E116" s="69"/>
      <c r="F116" s="46" t="s">
        <v>93</v>
      </c>
      <c r="G116" s="46">
        <v>1</v>
      </c>
      <c r="H116" s="67"/>
      <c r="I116" s="67"/>
      <c r="J116" s="67"/>
      <c r="K116" s="67"/>
      <c r="L116" s="67"/>
      <c r="M116" s="67"/>
      <c r="Q116" s="47"/>
      <c r="R116" s="48"/>
      <c r="S116" s="48"/>
    </row>
    <row r="117" spans="1:19" x14ac:dyDescent="0.25">
      <c r="A117" s="86"/>
      <c r="B117" s="87"/>
      <c r="C117" s="62"/>
      <c r="D117" s="67"/>
      <c r="E117" s="69"/>
      <c r="F117" s="46" t="s">
        <v>94</v>
      </c>
      <c r="G117" s="46">
        <v>0</v>
      </c>
      <c r="H117" s="68"/>
      <c r="I117" s="68"/>
      <c r="J117" s="68"/>
      <c r="K117" s="68"/>
      <c r="L117" s="68"/>
      <c r="M117" s="68"/>
      <c r="Q117" s="47"/>
      <c r="R117" s="48"/>
      <c r="S117" s="48"/>
    </row>
    <row r="118" spans="1:19" ht="14.45" customHeight="1" x14ac:dyDescent="0.25">
      <c r="A118" s="86"/>
      <c r="B118" s="87"/>
      <c r="C118" s="62">
        <v>14</v>
      </c>
      <c r="D118" s="67"/>
      <c r="E118" s="70" t="s">
        <v>97</v>
      </c>
      <c r="F118" s="46" t="s">
        <v>98</v>
      </c>
      <c r="G118" s="46">
        <v>10</v>
      </c>
      <c r="H118" s="66">
        <v>5</v>
      </c>
      <c r="I118" s="66">
        <v>5</v>
      </c>
      <c r="J118" s="66">
        <v>5</v>
      </c>
      <c r="K118" s="66">
        <v>5</v>
      </c>
      <c r="L118" s="66">
        <v>5</v>
      </c>
      <c r="M118" s="66">
        <v>5</v>
      </c>
      <c r="Q118" s="47"/>
      <c r="R118" s="48"/>
      <c r="S118" s="48"/>
    </row>
    <row r="119" spans="1:19" x14ac:dyDescent="0.25">
      <c r="A119" s="86"/>
      <c r="B119" s="87"/>
      <c r="C119" s="62"/>
      <c r="D119" s="67"/>
      <c r="E119" s="71"/>
      <c r="F119" s="46" t="s">
        <v>110</v>
      </c>
      <c r="G119" s="46">
        <v>5</v>
      </c>
      <c r="H119" s="67"/>
      <c r="I119" s="67"/>
      <c r="J119" s="67"/>
      <c r="K119" s="67"/>
      <c r="L119" s="67"/>
      <c r="M119" s="67"/>
      <c r="Q119" s="47"/>
      <c r="R119" s="48"/>
      <c r="S119" s="48"/>
    </row>
    <row r="120" spans="1:19" x14ac:dyDescent="0.25">
      <c r="A120" s="86"/>
      <c r="B120" s="87"/>
      <c r="C120" s="62"/>
      <c r="D120" s="67"/>
      <c r="E120" s="72"/>
      <c r="F120" s="46" t="s">
        <v>111</v>
      </c>
      <c r="G120" s="46">
        <v>-10</v>
      </c>
      <c r="H120" s="68"/>
      <c r="I120" s="68"/>
      <c r="J120" s="68"/>
      <c r="K120" s="68"/>
      <c r="L120" s="68"/>
      <c r="M120" s="68"/>
      <c r="Q120" s="47"/>
      <c r="R120" s="48"/>
      <c r="S120" s="48"/>
    </row>
    <row r="121" spans="1:19" x14ac:dyDescent="0.25">
      <c r="A121" s="86"/>
      <c r="B121" s="87"/>
      <c r="C121" s="59"/>
      <c r="D121" s="58"/>
      <c r="E121" s="49" t="s">
        <v>83</v>
      </c>
      <c r="F121" s="50"/>
      <c r="G121" s="50"/>
      <c r="H121" s="51"/>
      <c r="I121" s="51"/>
      <c r="J121" s="51"/>
      <c r="K121" s="51"/>
      <c r="L121" s="51"/>
      <c r="M121" s="51"/>
      <c r="Q121" s="47"/>
      <c r="R121" s="48"/>
      <c r="S121" s="48"/>
    </row>
    <row r="122" spans="1:19" x14ac:dyDescent="0.25">
      <c r="A122" s="86"/>
      <c r="B122" s="87"/>
      <c r="C122" s="62">
        <v>15</v>
      </c>
      <c r="D122" s="67">
        <v>20</v>
      </c>
      <c r="E122" s="69" t="s">
        <v>86</v>
      </c>
      <c r="F122" s="46" t="s">
        <v>99</v>
      </c>
      <c r="G122" s="46">
        <v>5</v>
      </c>
      <c r="H122" s="66">
        <v>3</v>
      </c>
      <c r="I122" s="66">
        <v>3</v>
      </c>
      <c r="J122" s="66">
        <v>3</v>
      </c>
      <c r="K122" s="66">
        <v>3</v>
      </c>
      <c r="L122" s="66">
        <v>3</v>
      </c>
      <c r="M122" s="66">
        <v>3</v>
      </c>
      <c r="Q122" s="47"/>
      <c r="R122" s="48"/>
      <c r="S122" s="48"/>
    </row>
    <row r="123" spans="1:19" x14ac:dyDescent="0.25">
      <c r="A123" s="86"/>
      <c r="B123" s="87"/>
      <c r="C123" s="62"/>
      <c r="D123" s="67"/>
      <c r="E123" s="69"/>
      <c r="F123" s="46" t="s">
        <v>100</v>
      </c>
      <c r="G123" s="46">
        <v>4</v>
      </c>
      <c r="H123" s="67"/>
      <c r="I123" s="67"/>
      <c r="J123" s="67"/>
      <c r="K123" s="67"/>
      <c r="L123" s="67"/>
      <c r="M123" s="67"/>
      <c r="Q123" s="47"/>
      <c r="R123" s="48"/>
      <c r="S123" s="48"/>
    </row>
    <row r="124" spans="1:19" x14ac:dyDescent="0.25">
      <c r="A124" s="86"/>
      <c r="B124" s="87"/>
      <c r="C124" s="62"/>
      <c r="D124" s="67"/>
      <c r="E124" s="69"/>
      <c r="F124" s="46" t="s">
        <v>101</v>
      </c>
      <c r="G124" s="46">
        <v>3</v>
      </c>
      <c r="H124" s="67"/>
      <c r="I124" s="67"/>
      <c r="J124" s="67"/>
      <c r="K124" s="67"/>
      <c r="L124" s="67"/>
      <c r="M124" s="67"/>
    </row>
    <row r="125" spans="1:19" x14ac:dyDescent="0.25">
      <c r="A125" s="86"/>
      <c r="B125" s="87"/>
      <c r="C125" s="62"/>
      <c r="D125" s="67"/>
      <c r="E125" s="69"/>
      <c r="F125" s="46" t="s">
        <v>92</v>
      </c>
      <c r="G125" s="46">
        <v>2</v>
      </c>
      <c r="H125" s="67"/>
      <c r="I125" s="67"/>
      <c r="J125" s="67"/>
      <c r="K125" s="67"/>
      <c r="L125" s="67"/>
      <c r="M125" s="67"/>
    </row>
    <row r="126" spans="1:19" x14ac:dyDescent="0.25">
      <c r="A126" s="86"/>
      <c r="B126" s="87"/>
      <c r="C126" s="62"/>
      <c r="D126" s="67"/>
      <c r="E126" s="69"/>
      <c r="F126" s="46" t="s">
        <v>93</v>
      </c>
      <c r="G126" s="46">
        <v>1</v>
      </c>
      <c r="H126" s="67"/>
      <c r="I126" s="67"/>
      <c r="J126" s="67"/>
      <c r="K126" s="67"/>
      <c r="L126" s="67"/>
      <c r="M126" s="67"/>
    </row>
    <row r="127" spans="1:19" x14ac:dyDescent="0.25">
      <c r="A127" s="86"/>
      <c r="B127" s="87"/>
      <c r="C127" s="62"/>
      <c r="D127" s="67"/>
      <c r="E127" s="69"/>
      <c r="F127" s="46" t="s">
        <v>94</v>
      </c>
      <c r="G127" s="46">
        <v>0</v>
      </c>
      <c r="H127" s="68"/>
      <c r="I127" s="68"/>
      <c r="J127" s="68"/>
      <c r="K127" s="68"/>
      <c r="L127" s="68"/>
      <c r="M127" s="68"/>
    </row>
    <row r="128" spans="1:19" x14ac:dyDescent="0.25">
      <c r="A128" s="86"/>
      <c r="B128" s="87"/>
      <c r="C128" s="62">
        <v>16</v>
      </c>
      <c r="D128" s="67"/>
      <c r="E128" s="69" t="s">
        <v>84</v>
      </c>
      <c r="F128" s="46" t="s">
        <v>89</v>
      </c>
      <c r="G128" s="46">
        <v>5</v>
      </c>
      <c r="H128" s="66">
        <v>3</v>
      </c>
      <c r="I128" s="66">
        <v>3</v>
      </c>
      <c r="J128" s="66">
        <v>3</v>
      </c>
      <c r="K128" s="66">
        <v>4</v>
      </c>
      <c r="L128" s="66">
        <v>4</v>
      </c>
      <c r="M128" s="66">
        <v>4</v>
      </c>
    </row>
    <row r="129" spans="1:13" x14ac:dyDescent="0.25">
      <c r="A129" s="86"/>
      <c r="B129" s="87"/>
      <c r="C129" s="62"/>
      <c r="D129" s="67"/>
      <c r="E129" s="69"/>
      <c r="F129" s="46" t="s">
        <v>90</v>
      </c>
      <c r="G129" s="46">
        <v>4</v>
      </c>
      <c r="H129" s="67"/>
      <c r="I129" s="67"/>
      <c r="J129" s="67"/>
      <c r="K129" s="67"/>
      <c r="L129" s="67"/>
      <c r="M129" s="67"/>
    </row>
    <row r="130" spans="1:13" x14ac:dyDescent="0.25">
      <c r="A130" s="86"/>
      <c r="B130" s="87"/>
      <c r="C130" s="62"/>
      <c r="D130" s="67"/>
      <c r="E130" s="69"/>
      <c r="F130" s="46" t="s">
        <v>91</v>
      </c>
      <c r="G130" s="46">
        <v>3</v>
      </c>
      <c r="H130" s="67"/>
      <c r="I130" s="67"/>
      <c r="J130" s="67"/>
      <c r="K130" s="67"/>
      <c r="L130" s="67"/>
      <c r="M130" s="67"/>
    </row>
    <row r="131" spans="1:13" x14ac:dyDescent="0.25">
      <c r="A131" s="86"/>
      <c r="B131" s="87"/>
      <c r="C131" s="62"/>
      <c r="D131" s="67"/>
      <c r="E131" s="69"/>
      <c r="F131" s="46" t="s">
        <v>92</v>
      </c>
      <c r="G131" s="46">
        <v>2</v>
      </c>
      <c r="H131" s="67"/>
      <c r="I131" s="67"/>
      <c r="J131" s="67"/>
      <c r="K131" s="67"/>
      <c r="L131" s="67"/>
      <c r="M131" s="67"/>
    </row>
    <row r="132" spans="1:13" x14ac:dyDescent="0.25">
      <c r="A132" s="86"/>
      <c r="B132" s="87"/>
      <c r="C132" s="62"/>
      <c r="D132" s="67"/>
      <c r="E132" s="69"/>
      <c r="F132" s="46" t="s">
        <v>93</v>
      </c>
      <c r="G132" s="46">
        <v>1</v>
      </c>
      <c r="H132" s="67"/>
      <c r="I132" s="67"/>
      <c r="J132" s="67"/>
      <c r="K132" s="67"/>
      <c r="L132" s="67"/>
      <c r="M132" s="67"/>
    </row>
    <row r="133" spans="1:13" x14ac:dyDescent="0.25">
      <c r="A133" s="86"/>
      <c r="B133" s="87"/>
      <c r="C133" s="62"/>
      <c r="D133" s="67"/>
      <c r="E133" s="69"/>
      <c r="F133" s="46" t="s">
        <v>94</v>
      </c>
      <c r="G133" s="46">
        <v>0</v>
      </c>
      <c r="H133" s="68"/>
      <c r="I133" s="68"/>
      <c r="J133" s="68"/>
      <c r="K133" s="68"/>
      <c r="L133" s="68"/>
      <c r="M133" s="68"/>
    </row>
    <row r="134" spans="1:13" x14ac:dyDescent="0.25">
      <c r="A134" s="86"/>
      <c r="B134" s="87"/>
      <c r="C134" s="62">
        <v>17</v>
      </c>
      <c r="D134" s="67"/>
      <c r="E134" s="69" t="s">
        <v>85</v>
      </c>
      <c r="F134" s="46" t="s">
        <v>89</v>
      </c>
      <c r="G134" s="46">
        <v>5</v>
      </c>
      <c r="H134" s="66">
        <v>3</v>
      </c>
      <c r="I134" s="66">
        <v>3</v>
      </c>
      <c r="J134" s="66">
        <v>3</v>
      </c>
      <c r="K134" s="66">
        <v>4</v>
      </c>
      <c r="L134" s="66">
        <v>4</v>
      </c>
      <c r="M134" s="66">
        <v>4</v>
      </c>
    </row>
    <row r="135" spans="1:13" x14ac:dyDescent="0.25">
      <c r="A135" s="86"/>
      <c r="B135" s="87"/>
      <c r="C135" s="62"/>
      <c r="D135" s="67"/>
      <c r="E135" s="69"/>
      <c r="F135" s="46" t="s">
        <v>90</v>
      </c>
      <c r="G135" s="46">
        <v>4</v>
      </c>
      <c r="H135" s="67"/>
      <c r="I135" s="67"/>
      <c r="J135" s="67"/>
      <c r="K135" s="67"/>
      <c r="L135" s="67"/>
      <c r="M135" s="67"/>
    </row>
    <row r="136" spans="1:13" x14ac:dyDescent="0.25">
      <c r="A136" s="86"/>
      <c r="B136" s="87"/>
      <c r="C136" s="62"/>
      <c r="D136" s="67"/>
      <c r="E136" s="69"/>
      <c r="F136" s="46" t="s">
        <v>91</v>
      </c>
      <c r="G136" s="46">
        <v>3</v>
      </c>
      <c r="H136" s="67"/>
      <c r="I136" s="67"/>
      <c r="J136" s="67"/>
      <c r="K136" s="67"/>
      <c r="L136" s="67"/>
      <c r="M136" s="67"/>
    </row>
    <row r="137" spans="1:13" x14ac:dyDescent="0.25">
      <c r="A137" s="86"/>
      <c r="B137" s="87"/>
      <c r="C137" s="62"/>
      <c r="D137" s="67"/>
      <c r="E137" s="69"/>
      <c r="F137" s="46" t="s">
        <v>92</v>
      </c>
      <c r="G137" s="46">
        <v>2</v>
      </c>
      <c r="H137" s="67"/>
      <c r="I137" s="67"/>
      <c r="J137" s="67"/>
      <c r="K137" s="67"/>
      <c r="L137" s="67"/>
      <c r="M137" s="67"/>
    </row>
    <row r="138" spans="1:13" x14ac:dyDescent="0.25">
      <c r="A138" s="86"/>
      <c r="B138" s="87"/>
      <c r="C138" s="62"/>
      <c r="D138" s="67"/>
      <c r="E138" s="69"/>
      <c r="F138" s="46" t="s">
        <v>93</v>
      </c>
      <c r="G138" s="46">
        <v>1</v>
      </c>
      <c r="H138" s="67"/>
      <c r="I138" s="67"/>
      <c r="J138" s="67"/>
      <c r="K138" s="67"/>
      <c r="L138" s="67"/>
      <c r="M138" s="67"/>
    </row>
    <row r="139" spans="1:13" x14ac:dyDescent="0.25">
      <c r="A139" s="86"/>
      <c r="B139" s="87"/>
      <c r="C139" s="62"/>
      <c r="D139" s="67"/>
      <c r="E139" s="69"/>
      <c r="F139" s="46" t="s">
        <v>94</v>
      </c>
      <c r="G139" s="46">
        <v>0</v>
      </c>
      <c r="H139" s="68"/>
      <c r="I139" s="68"/>
      <c r="J139" s="68"/>
      <c r="K139" s="68"/>
      <c r="L139" s="68"/>
      <c r="M139" s="68"/>
    </row>
    <row r="140" spans="1:13" x14ac:dyDescent="0.25">
      <c r="A140" s="86"/>
      <c r="B140" s="87"/>
      <c r="C140" s="62">
        <v>18</v>
      </c>
      <c r="D140" s="67"/>
      <c r="E140" s="69" t="s">
        <v>87</v>
      </c>
      <c r="F140" s="46" t="s">
        <v>89</v>
      </c>
      <c r="G140" s="46">
        <v>5</v>
      </c>
      <c r="H140" s="66">
        <v>3</v>
      </c>
      <c r="I140" s="66">
        <v>3</v>
      </c>
      <c r="J140" s="66">
        <v>3</v>
      </c>
      <c r="K140" s="66">
        <v>4</v>
      </c>
      <c r="L140" s="66">
        <v>4</v>
      </c>
      <c r="M140" s="66">
        <v>4</v>
      </c>
    </row>
    <row r="141" spans="1:13" x14ac:dyDescent="0.25">
      <c r="A141" s="86"/>
      <c r="B141" s="87"/>
      <c r="C141" s="62"/>
      <c r="D141" s="67"/>
      <c r="E141" s="69"/>
      <c r="F141" s="46" t="s">
        <v>90</v>
      </c>
      <c r="G141" s="46">
        <v>4</v>
      </c>
      <c r="H141" s="67"/>
      <c r="I141" s="67"/>
      <c r="J141" s="67"/>
      <c r="K141" s="67"/>
      <c r="L141" s="67"/>
      <c r="M141" s="67"/>
    </row>
    <row r="142" spans="1:13" x14ac:dyDescent="0.25">
      <c r="A142" s="86"/>
      <c r="B142" s="87"/>
      <c r="C142" s="62"/>
      <c r="D142" s="67"/>
      <c r="E142" s="69"/>
      <c r="F142" s="46" t="s">
        <v>91</v>
      </c>
      <c r="G142" s="46">
        <v>3</v>
      </c>
      <c r="H142" s="67"/>
      <c r="I142" s="67"/>
      <c r="J142" s="67"/>
      <c r="K142" s="67"/>
      <c r="L142" s="67"/>
      <c r="M142" s="67"/>
    </row>
    <row r="143" spans="1:13" x14ac:dyDescent="0.25">
      <c r="A143" s="86"/>
      <c r="B143" s="87"/>
      <c r="C143" s="62"/>
      <c r="D143" s="67"/>
      <c r="E143" s="69"/>
      <c r="F143" s="46" t="s">
        <v>92</v>
      </c>
      <c r="G143" s="46">
        <v>2</v>
      </c>
      <c r="H143" s="67"/>
      <c r="I143" s="67"/>
      <c r="J143" s="67"/>
      <c r="K143" s="67"/>
      <c r="L143" s="67"/>
      <c r="M143" s="67"/>
    </row>
    <row r="144" spans="1:13" x14ac:dyDescent="0.25">
      <c r="A144" s="86"/>
      <c r="B144" s="87"/>
      <c r="C144" s="62"/>
      <c r="D144" s="67"/>
      <c r="E144" s="69"/>
      <c r="F144" s="46" t="s">
        <v>93</v>
      </c>
      <c r="G144" s="46">
        <v>1</v>
      </c>
      <c r="H144" s="67"/>
      <c r="I144" s="67"/>
      <c r="J144" s="67"/>
      <c r="K144" s="67"/>
      <c r="L144" s="67"/>
      <c r="M144" s="67"/>
    </row>
    <row r="145" spans="1:13" x14ac:dyDescent="0.25">
      <c r="A145" s="86"/>
      <c r="B145" s="87"/>
      <c r="C145" s="62"/>
      <c r="D145" s="67"/>
      <c r="E145" s="69"/>
      <c r="F145" s="46" t="s">
        <v>94</v>
      </c>
      <c r="G145" s="46">
        <v>0</v>
      </c>
      <c r="H145" s="68"/>
      <c r="I145" s="68"/>
      <c r="J145" s="68"/>
      <c r="K145" s="68"/>
      <c r="L145" s="68"/>
      <c r="M145" s="68"/>
    </row>
    <row r="146" spans="1:13" x14ac:dyDescent="0.25">
      <c r="C146" s="45"/>
      <c r="D146" s="45"/>
      <c r="E146" s="32" t="s">
        <v>60</v>
      </c>
      <c r="F146" s="45"/>
      <c r="G146" s="46">
        <v>100</v>
      </c>
      <c r="H146" s="45">
        <f>SUM(H50:H145)</f>
        <v>82</v>
      </c>
      <c r="I146" s="45">
        <f t="shared" ref="I146:M146" si="1">SUM(I50:I145)</f>
        <v>82</v>
      </c>
      <c r="J146" s="45">
        <f t="shared" si="1"/>
        <v>82</v>
      </c>
      <c r="K146" s="45">
        <f t="shared" si="1"/>
        <v>85</v>
      </c>
      <c r="L146" s="45">
        <f t="shared" si="1"/>
        <v>85</v>
      </c>
      <c r="M146" s="45">
        <f t="shared" si="1"/>
        <v>85</v>
      </c>
    </row>
    <row r="147" spans="1:13" x14ac:dyDescent="0.25">
      <c r="C147" s="45"/>
      <c r="D147" s="45"/>
      <c r="E147" s="32" t="s">
        <v>62</v>
      </c>
      <c r="F147" s="45"/>
      <c r="G147" s="45"/>
      <c r="H147" s="45">
        <f>H146/100</f>
        <v>0.82</v>
      </c>
      <c r="I147" s="45">
        <f t="shared" ref="I147:M147" si="2">I146/100</f>
        <v>0.82</v>
      </c>
      <c r="J147" s="45">
        <f t="shared" si="2"/>
        <v>0.82</v>
      </c>
      <c r="K147" s="45">
        <f t="shared" si="2"/>
        <v>0.85</v>
      </c>
      <c r="L147" s="45">
        <f t="shared" si="2"/>
        <v>0.85</v>
      </c>
      <c r="M147" s="45">
        <f t="shared" si="2"/>
        <v>0.85</v>
      </c>
    </row>
    <row r="148" spans="1:13" x14ac:dyDescent="0.25">
      <c r="C148" s="45"/>
      <c r="D148" s="45"/>
      <c r="E148" s="33" t="s">
        <v>61</v>
      </c>
      <c r="F148" s="45"/>
      <c r="G148" s="45"/>
      <c r="H148" s="45"/>
      <c r="I148" s="45"/>
      <c r="J148" s="45"/>
      <c r="K148" s="45"/>
      <c r="L148" s="45"/>
      <c r="M148" s="45"/>
    </row>
    <row r="149" spans="1:13" x14ac:dyDescent="0.25">
      <c r="E149" s="60" t="s">
        <v>115</v>
      </c>
      <c r="F149" s="61"/>
      <c r="G149" s="61"/>
      <c r="H149" s="61">
        <f t="shared" ref="H149:M149" si="3">(40%*H43)+(60%*H146)</f>
        <v>89.199999999999989</v>
      </c>
      <c r="I149" s="61">
        <f t="shared" si="3"/>
        <v>85.199999999999989</v>
      </c>
      <c r="J149" s="61">
        <f t="shared" si="3"/>
        <v>85.199999999999989</v>
      </c>
      <c r="K149" s="61">
        <f t="shared" si="3"/>
        <v>87</v>
      </c>
      <c r="L149" s="61">
        <f t="shared" si="3"/>
        <v>87</v>
      </c>
      <c r="M149" s="61">
        <f t="shared" si="3"/>
        <v>87</v>
      </c>
    </row>
    <row r="150" spans="1:13" x14ac:dyDescent="0.25">
      <c r="E150" s="53"/>
    </row>
    <row r="151" spans="1:13" x14ac:dyDescent="0.25">
      <c r="E151" s="53"/>
    </row>
    <row r="152" spans="1:13" x14ac:dyDescent="0.25">
      <c r="E152" s="53"/>
    </row>
    <row r="153" spans="1:13" x14ac:dyDescent="0.25">
      <c r="E153" s="63" t="s">
        <v>63</v>
      </c>
      <c r="F153" s="64"/>
      <c r="G153" s="64"/>
      <c r="H153" s="65"/>
    </row>
    <row r="154" spans="1:13" x14ac:dyDescent="0.25">
      <c r="E154" s="77" t="s">
        <v>64</v>
      </c>
      <c r="F154" s="34" t="s">
        <v>65</v>
      </c>
      <c r="G154" s="82">
        <v>5</v>
      </c>
      <c r="H154" s="83"/>
    </row>
    <row r="155" spans="1:13" x14ac:dyDescent="0.25">
      <c r="E155" s="78"/>
      <c r="F155" s="34" t="s">
        <v>66</v>
      </c>
      <c r="G155" s="82">
        <v>4</v>
      </c>
      <c r="H155" s="83"/>
    </row>
    <row r="156" spans="1:13" x14ac:dyDescent="0.25">
      <c r="E156" s="78"/>
      <c r="F156" s="34" t="s">
        <v>67</v>
      </c>
      <c r="G156" s="82">
        <v>3</v>
      </c>
      <c r="H156" s="83"/>
    </row>
    <row r="157" spans="1:13" x14ac:dyDescent="0.25">
      <c r="E157" s="78"/>
      <c r="F157" s="34" t="s">
        <v>68</v>
      </c>
      <c r="G157" s="82">
        <v>2</v>
      </c>
      <c r="H157" s="83"/>
    </row>
    <row r="158" spans="1:13" x14ac:dyDescent="0.25">
      <c r="E158" s="79"/>
      <c r="F158" s="34" t="s">
        <v>69</v>
      </c>
      <c r="G158" s="82">
        <v>1</v>
      </c>
      <c r="H158" s="83"/>
    </row>
    <row r="159" spans="1:13" x14ac:dyDescent="0.25">
      <c r="E159" s="73"/>
      <c r="F159" s="74"/>
      <c r="G159" s="74"/>
      <c r="H159" s="75"/>
    </row>
    <row r="160" spans="1:13" x14ac:dyDescent="0.25">
      <c r="E160" s="77" t="s">
        <v>70</v>
      </c>
      <c r="F160" s="35" t="s">
        <v>65</v>
      </c>
      <c r="G160" s="80" t="s">
        <v>71</v>
      </c>
      <c r="H160" s="81"/>
    </row>
    <row r="161" spans="5:8" x14ac:dyDescent="0.25">
      <c r="E161" s="78"/>
      <c r="F161" s="35" t="s">
        <v>66</v>
      </c>
      <c r="G161" s="82" t="s">
        <v>72</v>
      </c>
      <c r="H161" s="83"/>
    </row>
    <row r="162" spans="5:8" x14ac:dyDescent="0.25">
      <c r="E162" s="78"/>
      <c r="F162" s="35" t="s">
        <v>73</v>
      </c>
      <c r="G162" s="82" t="s">
        <v>74</v>
      </c>
      <c r="H162" s="83"/>
    </row>
    <row r="163" spans="5:8" x14ac:dyDescent="0.25">
      <c r="E163" s="78"/>
      <c r="F163" s="35" t="s">
        <v>68</v>
      </c>
      <c r="G163" s="82" t="s">
        <v>75</v>
      </c>
      <c r="H163" s="83"/>
    </row>
    <row r="164" spans="5:8" x14ac:dyDescent="0.25">
      <c r="E164" s="79"/>
      <c r="F164" s="35" t="s">
        <v>69</v>
      </c>
      <c r="G164" s="82" t="s">
        <v>76</v>
      </c>
      <c r="H164" s="83"/>
    </row>
  </sheetData>
  <mergeCells count="254">
    <mergeCell ref="A1:M4"/>
    <mergeCell ref="A5:M5"/>
    <mergeCell ref="A6:M6"/>
    <mergeCell ref="A7:M7"/>
    <mergeCell ref="B8:D8"/>
    <mergeCell ref="E8:M8"/>
    <mergeCell ref="B12:D12"/>
    <mergeCell ref="E12:M12"/>
    <mergeCell ref="B13:D13"/>
    <mergeCell ref="E13:M13"/>
    <mergeCell ref="A14:M14"/>
    <mergeCell ref="A15:B15"/>
    <mergeCell ref="D15:E15"/>
    <mergeCell ref="B9:D9"/>
    <mergeCell ref="E9:M9"/>
    <mergeCell ref="B10:D10"/>
    <mergeCell ref="E10:M10"/>
    <mergeCell ref="B11:D11"/>
    <mergeCell ref="E11:M11"/>
    <mergeCell ref="A16:B16"/>
    <mergeCell ref="A18:B18"/>
    <mergeCell ref="A19:A24"/>
    <mergeCell ref="B19:B21"/>
    <mergeCell ref="C19:C21"/>
    <mergeCell ref="D19:D21"/>
    <mergeCell ref="B22:B24"/>
    <mergeCell ref="C22:C24"/>
    <mergeCell ref="D22:D24"/>
    <mergeCell ref="K22:K24"/>
    <mergeCell ref="L22:L24"/>
    <mergeCell ref="M22:M24"/>
    <mergeCell ref="H19:H21"/>
    <mergeCell ref="I19:I21"/>
    <mergeCell ref="J19:J21"/>
    <mergeCell ref="K19:K21"/>
    <mergeCell ref="L19:L21"/>
    <mergeCell ref="M19:M21"/>
    <mergeCell ref="A25:B25"/>
    <mergeCell ref="A26:A28"/>
    <mergeCell ref="B26:B28"/>
    <mergeCell ref="C26:C28"/>
    <mergeCell ref="D26:D28"/>
    <mergeCell ref="H26:H28"/>
    <mergeCell ref="H22:H24"/>
    <mergeCell ref="I22:I24"/>
    <mergeCell ref="J22:J24"/>
    <mergeCell ref="I26:I28"/>
    <mergeCell ref="J26:J28"/>
    <mergeCell ref="K26:K28"/>
    <mergeCell ref="L26:L28"/>
    <mergeCell ref="M26:M28"/>
    <mergeCell ref="A30:A32"/>
    <mergeCell ref="B30:B32"/>
    <mergeCell ref="C30:C32"/>
    <mergeCell ref="D30:D32"/>
    <mergeCell ref="H30:H32"/>
    <mergeCell ref="I30:I32"/>
    <mergeCell ref="J30:J32"/>
    <mergeCell ref="K30:K32"/>
    <mergeCell ref="L30:L32"/>
    <mergeCell ref="M30:M32"/>
    <mergeCell ref="B34:B36"/>
    <mergeCell ref="C34:C36"/>
    <mergeCell ref="D34:D36"/>
    <mergeCell ref="H34:H36"/>
    <mergeCell ref="I34:I36"/>
    <mergeCell ref="J34:J36"/>
    <mergeCell ref="K34:K36"/>
    <mergeCell ref="L34:L36"/>
    <mergeCell ref="M34:M36"/>
    <mergeCell ref="A43:G43"/>
    <mergeCell ref="A44:G44"/>
    <mergeCell ref="A45:M46"/>
    <mergeCell ref="J37:J39"/>
    <mergeCell ref="K37:K39"/>
    <mergeCell ref="L37:L39"/>
    <mergeCell ref="M37:M39"/>
    <mergeCell ref="B40:B42"/>
    <mergeCell ref="C40:C42"/>
    <mergeCell ref="D40:D42"/>
    <mergeCell ref="H40:H42"/>
    <mergeCell ref="I40:I42"/>
    <mergeCell ref="J40:J42"/>
    <mergeCell ref="A37:A42"/>
    <mergeCell ref="B37:B39"/>
    <mergeCell ref="C37:C39"/>
    <mergeCell ref="D37:D39"/>
    <mergeCell ref="H37:H39"/>
    <mergeCell ref="I37:I39"/>
    <mergeCell ref="K40:K42"/>
    <mergeCell ref="L40:L42"/>
    <mergeCell ref="M40:M42"/>
    <mergeCell ref="A47:B145"/>
    <mergeCell ref="C50:C51"/>
    <mergeCell ref="D50:D56"/>
    <mergeCell ref="E50:E51"/>
    <mergeCell ref="H50:H51"/>
    <mergeCell ref="I50:I51"/>
    <mergeCell ref="C58:C63"/>
    <mergeCell ref="D58:D120"/>
    <mergeCell ref="E58:E63"/>
    <mergeCell ref="H58:H63"/>
    <mergeCell ref="C54:C56"/>
    <mergeCell ref="E54:E56"/>
    <mergeCell ref="H54:H56"/>
    <mergeCell ref="I54:I56"/>
    <mergeCell ref="C64:C69"/>
    <mergeCell ref="E64:E69"/>
    <mergeCell ref="H64:H69"/>
    <mergeCell ref="I64:I69"/>
    <mergeCell ref="C76:C81"/>
    <mergeCell ref="E76:E81"/>
    <mergeCell ref="H76:H81"/>
    <mergeCell ref="I76:I81"/>
    <mergeCell ref="J50:J51"/>
    <mergeCell ref="K50:K51"/>
    <mergeCell ref="L50:L51"/>
    <mergeCell ref="M50:M51"/>
    <mergeCell ref="C52:C53"/>
    <mergeCell ref="E52:E53"/>
    <mergeCell ref="H52:H53"/>
    <mergeCell ref="I52:I53"/>
    <mergeCell ref="J52:J53"/>
    <mergeCell ref="K52:K53"/>
    <mergeCell ref="L52:L53"/>
    <mergeCell ref="M52:M53"/>
    <mergeCell ref="J54:J56"/>
    <mergeCell ref="K54:K56"/>
    <mergeCell ref="L54:L56"/>
    <mergeCell ref="M54:M56"/>
    <mergeCell ref="I58:I63"/>
    <mergeCell ref="J58:J63"/>
    <mergeCell ref="K58:K63"/>
    <mergeCell ref="L58:L63"/>
    <mergeCell ref="M58:M63"/>
    <mergeCell ref="J64:J69"/>
    <mergeCell ref="K64:K69"/>
    <mergeCell ref="L64:L69"/>
    <mergeCell ref="M64:M69"/>
    <mergeCell ref="C70:C75"/>
    <mergeCell ref="E70:E75"/>
    <mergeCell ref="H70:H75"/>
    <mergeCell ref="I70:I75"/>
    <mergeCell ref="J70:J75"/>
    <mergeCell ref="K70:K75"/>
    <mergeCell ref="L70:L75"/>
    <mergeCell ref="M70:M75"/>
    <mergeCell ref="J76:J81"/>
    <mergeCell ref="K76:K81"/>
    <mergeCell ref="L76:L81"/>
    <mergeCell ref="M76:M81"/>
    <mergeCell ref="L82:L87"/>
    <mergeCell ref="M82:M87"/>
    <mergeCell ref="C88:C93"/>
    <mergeCell ref="E88:E93"/>
    <mergeCell ref="H88:H93"/>
    <mergeCell ref="I88:I93"/>
    <mergeCell ref="J88:J93"/>
    <mergeCell ref="K88:K93"/>
    <mergeCell ref="L88:L93"/>
    <mergeCell ref="M88:M93"/>
    <mergeCell ref="C82:C87"/>
    <mergeCell ref="E82:E87"/>
    <mergeCell ref="H82:H87"/>
    <mergeCell ref="I82:I87"/>
    <mergeCell ref="J82:J87"/>
    <mergeCell ref="K82:K87"/>
    <mergeCell ref="L94:L99"/>
    <mergeCell ref="M94:M99"/>
    <mergeCell ref="C100:C105"/>
    <mergeCell ref="E100:E105"/>
    <mergeCell ref="H100:H105"/>
    <mergeCell ref="I100:I105"/>
    <mergeCell ref="J100:J105"/>
    <mergeCell ref="K100:K105"/>
    <mergeCell ref="L100:L105"/>
    <mergeCell ref="M100:M105"/>
    <mergeCell ref="C94:C99"/>
    <mergeCell ref="E94:E99"/>
    <mergeCell ref="H94:H99"/>
    <mergeCell ref="I94:I99"/>
    <mergeCell ref="J94:J99"/>
    <mergeCell ref="K94:K99"/>
    <mergeCell ref="L106:L111"/>
    <mergeCell ref="M106:M111"/>
    <mergeCell ref="C112:C117"/>
    <mergeCell ref="E112:E117"/>
    <mergeCell ref="H112:H117"/>
    <mergeCell ref="I112:I117"/>
    <mergeCell ref="J112:J117"/>
    <mergeCell ref="K112:K117"/>
    <mergeCell ref="L112:L117"/>
    <mergeCell ref="M112:M117"/>
    <mergeCell ref="C106:C111"/>
    <mergeCell ref="E106:E111"/>
    <mergeCell ref="H106:H111"/>
    <mergeCell ref="I106:I111"/>
    <mergeCell ref="J106:J111"/>
    <mergeCell ref="K106:K111"/>
    <mergeCell ref="L118:L120"/>
    <mergeCell ref="M118:M120"/>
    <mergeCell ref="C122:C127"/>
    <mergeCell ref="D122:D145"/>
    <mergeCell ref="E122:E127"/>
    <mergeCell ref="H122:H127"/>
    <mergeCell ref="I122:I127"/>
    <mergeCell ref="J122:J127"/>
    <mergeCell ref="K122:K127"/>
    <mergeCell ref="L122:L127"/>
    <mergeCell ref="C118:C120"/>
    <mergeCell ref="E118:E120"/>
    <mergeCell ref="H118:H120"/>
    <mergeCell ref="I118:I120"/>
    <mergeCell ref="J118:J120"/>
    <mergeCell ref="K118:K120"/>
    <mergeCell ref="M122:M127"/>
    <mergeCell ref="C128:C133"/>
    <mergeCell ref="E128:E133"/>
    <mergeCell ref="H128:H133"/>
    <mergeCell ref="I128:I133"/>
    <mergeCell ref="J128:J133"/>
    <mergeCell ref="K128:K133"/>
    <mergeCell ref="L128:L133"/>
    <mergeCell ref="M128:M133"/>
    <mergeCell ref="L134:L139"/>
    <mergeCell ref="M134:M139"/>
    <mergeCell ref="C140:C145"/>
    <mergeCell ref="E140:E145"/>
    <mergeCell ref="H140:H145"/>
    <mergeCell ref="I140:I145"/>
    <mergeCell ref="J140:J145"/>
    <mergeCell ref="K140:K145"/>
    <mergeCell ref="L140:L145"/>
    <mergeCell ref="M140:M145"/>
    <mergeCell ref="C134:C139"/>
    <mergeCell ref="E134:E139"/>
    <mergeCell ref="H134:H139"/>
    <mergeCell ref="I134:I139"/>
    <mergeCell ref="J134:J139"/>
    <mergeCell ref="K134:K139"/>
    <mergeCell ref="E159:H159"/>
    <mergeCell ref="E160:E164"/>
    <mergeCell ref="G160:H160"/>
    <mergeCell ref="G161:H161"/>
    <mergeCell ref="G162:H162"/>
    <mergeCell ref="G163:H163"/>
    <mergeCell ref="G164:H164"/>
    <mergeCell ref="E153:H153"/>
    <mergeCell ref="E154:E158"/>
    <mergeCell ref="G154:H154"/>
    <mergeCell ref="G155:H155"/>
    <mergeCell ref="G156:H156"/>
    <mergeCell ref="G157:H157"/>
    <mergeCell ref="G158:H15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8C8A-9171-4996-8D2A-EED28E6FC88D}">
  <dimension ref="A1:S164"/>
  <sheetViews>
    <sheetView tabSelected="1" topLeftCell="A22" zoomScale="82" workbookViewId="0">
      <selection activeCell="I22" sqref="I22:I24"/>
    </sheetView>
  </sheetViews>
  <sheetFormatPr defaultRowHeight="15" x14ac:dyDescent="0.25"/>
  <cols>
    <col min="4" max="4" width="27" customWidth="1"/>
    <col min="5" max="5" width="34.7109375" customWidth="1"/>
    <col min="6" max="6" width="24.85546875" bestFit="1" customWidth="1"/>
    <col min="9" max="9" width="10.85546875" customWidth="1"/>
  </cols>
  <sheetData>
    <row r="1" spans="1:14" s="1" customFormat="1" ht="14.25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4" s="1" customFormat="1" ht="14.25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s="1" customFormat="1" ht="14.25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4" s="1" customFormat="1" ht="14.25" x14ac:dyDescent="0.2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4" s="1" customFormat="1" x14ac:dyDescent="0.25">
      <c r="A5" s="115" t="s">
        <v>0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</row>
    <row r="6" spans="1:14" s="1" customFormat="1" x14ac:dyDescent="0.25">
      <c r="A6" s="115" t="s">
        <v>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14" s="1" customFormat="1" ht="14.25" x14ac:dyDescent="0.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4" s="1" customFormat="1" ht="15" customHeight="1" x14ac:dyDescent="0.2">
      <c r="A8" s="38"/>
      <c r="B8" s="116" t="s">
        <v>2</v>
      </c>
      <c r="C8" s="116"/>
      <c r="D8" s="116"/>
      <c r="E8" s="116" t="s">
        <v>116</v>
      </c>
      <c r="F8" s="116"/>
      <c r="G8" s="116"/>
      <c r="H8" s="116"/>
      <c r="I8" s="116"/>
      <c r="J8" s="116"/>
      <c r="K8" s="116"/>
      <c r="L8" s="116"/>
      <c r="M8" s="116"/>
    </row>
    <row r="9" spans="1:14" s="1" customFormat="1" ht="15" customHeight="1" x14ac:dyDescent="0.2">
      <c r="A9" s="38"/>
      <c r="B9" s="116" t="s">
        <v>3</v>
      </c>
      <c r="C9" s="116"/>
      <c r="D9" s="116"/>
      <c r="E9" s="116" t="s">
        <v>117</v>
      </c>
      <c r="F9" s="116"/>
      <c r="G9" s="116"/>
      <c r="H9" s="116"/>
      <c r="I9" s="116"/>
      <c r="J9" s="116"/>
      <c r="K9" s="116"/>
      <c r="L9" s="116"/>
      <c r="M9" s="116"/>
    </row>
    <row r="10" spans="1:14" s="1" customFormat="1" ht="15" customHeight="1" x14ac:dyDescent="0.2">
      <c r="A10" s="38"/>
      <c r="B10" s="116" t="s">
        <v>4</v>
      </c>
      <c r="C10" s="116"/>
      <c r="D10" s="116"/>
      <c r="E10" s="116" t="s">
        <v>118</v>
      </c>
      <c r="F10" s="116"/>
      <c r="G10" s="116"/>
      <c r="H10" s="116"/>
      <c r="I10" s="116"/>
      <c r="J10" s="116"/>
      <c r="K10" s="116"/>
      <c r="L10" s="116"/>
      <c r="M10" s="116"/>
    </row>
    <row r="11" spans="1:14" s="1" customFormat="1" ht="15" customHeight="1" x14ac:dyDescent="0.2">
      <c r="A11" s="38"/>
      <c r="B11" s="116" t="s">
        <v>5</v>
      </c>
      <c r="C11" s="116"/>
      <c r="D11" s="116"/>
      <c r="E11" s="116" t="s">
        <v>119</v>
      </c>
      <c r="F11" s="116"/>
      <c r="G11" s="116"/>
      <c r="H11" s="116"/>
      <c r="I11" s="116"/>
      <c r="J11" s="116"/>
      <c r="K11" s="116"/>
      <c r="L11" s="116"/>
      <c r="M11" s="116"/>
    </row>
    <row r="12" spans="1:14" s="1" customFormat="1" ht="15" customHeight="1" x14ac:dyDescent="0.2">
      <c r="A12" s="38"/>
      <c r="B12" s="116" t="s">
        <v>6</v>
      </c>
      <c r="C12" s="116"/>
      <c r="D12" s="116"/>
      <c r="E12" s="116" t="s">
        <v>120</v>
      </c>
      <c r="F12" s="116"/>
      <c r="G12" s="116"/>
      <c r="H12" s="116"/>
      <c r="I12" s="116"/>
      <c r="J12" s="116"/>
      <c r="K12" s="116"/>
      <c r="L12" s="116"/>
      <c r="M12" s="116"/>
    </row>
    <row r="13" spans="1:14" s="1" customFormat="1" ht="15" customHeight="1" x14ac:dyDescent="0.2">
      <c r="A13" s="38"/>
      <c r="B13" s="116" t="s">
        <v>7</v>
      </c>
      <c r="C13" s="116"/>
      <c r="D13" s="116"/>
      <c r="E13" s="116" t="s">
        <v>8</v>
      </c>
      <c r="F13" s="116"/>
      <c r="G13" s="116"/>
      <c r="H13" s="116"/>
      <c r="I13" s="116"/>
      <c r="J13" s="116"/>
      <c r="K13" s="116"/>
      <c r="L13" s="116"/>
      <c r="M13" s="116"/>
    </row>
    <row r="14" spans="1:14" s="1" customFormat="1" ht="14.25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4" s="1" customFormat="1" x14ac:dyDescent="0.25">
      <c r="A15" s="117" t="s">
        <v>9</v>
      </c>
      <c r="B15" s="118"/>
      <c r="C15" s="40" t="s">
        <v>10</v>
      </c>
      <c r="D15" s="113" t="s">
        <v>11</v>
      </c>
      <c r="E15" s="113"/>
      <c r="F15" s="39" t="s">
        <v>12</v>
      </c>
      <c r="G15" s="2" t="s">
        <v>13</v>
      </c>
      <c r="H15" s="41" t="s">
        <v>14</v>
      </c>
      <c r="I15" s="41" t="s">
        <v>15</v>
      </c>
      <c r="J15" s="41" t="s">
        <v>16</v>
      </c>
      <c r="K15" s="41" t="s">
        <v>17</v>
      </c>
      <c r="L15" s="41" t="s">
        <v>18</v>
      </c>
      <c r="M15" s="41" t="s">
        <v>19</v>
      </c>
      <c r="N15" s="3"/>
    </row>
    <row r="16" spans="1:14" s="1" customFormat="1" x14ac:dyDescent="0.25">
      <c r="A16" s="113" t="s">
        <v>20</v>
      </c>
      <c r="B16" s="113"/>
      <c r="C16" s="39">
        <v>100</v>
      </c>
      <c r="D16" s="4" t="s">
        <v>21</v>
      </c>
      <c r="E16" s="5"/>
      <c r="F16" s="5"/>
      <c r="G16" s="5"/>
      <c r="H16" s="5"/>
      <c r="I16" s="5"/>
      <c r="J16" s="5"/>
      <c r="K16" s="5"/>
      <c r="L16" s="5"/>
      <c r="M16" s="6"/>
      <c r="N16" s="3"/>
    </row>
    <row r="17" spans="1:14" s="1" customFormat="1" x14ac:dyDescent="0.25">
      <c r="A17" s="41">
        <v>1</v>
      </c>
      <c r="B17" s="41"/>
      <c r="C17" s="39">
        <v>50</v>
      </c>
      <c r="D17" s="4" t="s">
        <v>22</v>
      </c>
      <c r="E17" s="5"/>
      <c r="F17" s="5"/>
      <c r="G17" s="5"/>
      <c r="H17" s="5"/>
      <c r="I17" s="5"/>
      <c r="J17" s="5"/>
      <c r="K17" s="5"/>
      <c r="L17" s="5"/>
      <c r="M17" s="6"/>
      <c r="N17" s="3"/>
    </row>
    <row r="18" spans="1:14" s="1" customFormat="1" ht="15" customHeight="1" x14ac:dyDescent="0.2">
      <c r="A18" s="95" t="s">
        <v>23</v>
      </c>
      <c r="B18" s="95"/>
      <c r="C18" s="42"/>
      <c r="D18" s="43" t="s">
        <v>24</v>
      </c>
      <c r="E18" s="7"/>
      <c r="F18" s="7"/>
      <c r="G18" s="37"/>
      <c r="H18" s="38"/>
      <c r="I18" s="38"/>
      <c r="J18" s="38"/>
      <c r="K18" s="38"/>
      <c r="L18" s="38"/>
      <c r="M18" s="38"/>
      <c r="N18" s="3"/>
    </row>
    <row r="19" spans="1:14" s="1" customFormat="1" ht="15" customHeight="1" x14ac:dyDescent="0.2">
      <c r="A19" s="96"/>
      <c r="B19" s="96">
        <v>1</v>
      </c>
      <c r="C19" s="96">
        <v>20</v>
      </c>
      <c r="D19" s="104" t="s">
        <v>25</v>
      </c>
      <c r="E19" s="7" t="s">
        <v>26</v>
      </c>
      <c r="F19" s="8" t="s">
        <v>27</v>
      </c>
      <c r="G19" s="9">
        <v>20</v>
      </c>
      <c r="H19" s="92">
        <v>10</v>
      </c>
      <c r="I19" s="92">
        <v>20</v>
      </c>
      <c r="J19" s="92">
        <v>20</v>
      </c>
      <c r="K19" s="92"/>
      <c r="L19" s="92"/>
      <c r="M19" s="92"/>
      <c r="N19" s="3"/>
    </row>
    <row r="20" spans="1:14" s="1" customFormat="1" ht="15" customHeight="1" x14ac:dyDescent="0.2">
      <c r="A20" s="97"/>
      <c r="B20" s="97"/>
      <c r="C20" s="97"/>
      <c r="D20" s="104"/>
      <c r="E20" s="7" t="s">
        <v>28</v>
      </c>
      <c r="F20" s="8"/>
      <c r="G20" s="9">
        <v>10</v>
      </c>
      <c r="H20" s="93"/>
      <c r="I20" s="93"/>
      <c r="J20" s="93"/>
      <c r="K20" s="93"/>
      <c r="L20" s="93"/>
      <c r="M20" s="93"/>
      <c r="N20" s="3"/>
    </row>
    <row r="21" spans="1:14" s="1" customFormat="1" ht="15" customHeight="1" x14ac:dyDescent="0.2">
      <c r="A21" s="97"/>
      <c r="B21" s="102"/>
      <c r="C21" s="102"/>
      <c r="D21" s="104"/>
      <c r="E21" s="7" t="s">
        <v>29</v>
      </c>
      <c r="F21" s="8"/>
      <c r="G21" s="9">
        <v>0</v>
      </c>
      <c r="H21" s="94"/>
      <c r="I21" s="94"/>
      <c r="J21" s="94"/>
      <c r="K21" s="94"/>
      <c r="L21" s="94"/>
      <c r="M21" s="94"/>
      <c r="N21" s="3"/>
    </row>
    <row r="22" spans="1:14" s="1" customFormat="1" ht="15" customHeight="1" x14ac:dyDescent="0.2">
      <c r="A22" s="97"/>
      <c r="B22" s="96">
        <v>2</v>
      </c>
      <c r="C22" s="96">
        <v>20</v>
      </c>
      <c r="D22" s="104" t="s">
        <v>30</v>
      </c>
      <c r="E22" s="7" t="s">
        <v>31</v>
      </c>
      <c r="F22" s="8" t="s">
        <v>27</v>
      </c>
      <c r="G22" s="9">
        <v>20</v>
      </c>
      <c r="H22" s="92">
        <v>20</v>
      </c>
      <c r="I22" s="92">
        <v>20</v>
      </c>
      <c r="J22" s="92">
        <v>20</v>
      </c>
      <c r="K22" s="92"/>
      <c r="L22" s="92"/>
      <c r="M22" s="92"/>
      <c r="N22" s="3"/>
    </row>
    <row r="23" spans="1:14" s="1" customFormat="1" ht="15" customHeight="1" x14ac:dyDescent="0.2">
      <c r="A23" s="97"/>
      <c r="B23" s="97"/>
      <c r="C23" s="97"/>
      <c r="D23" s="104"/>
      <c r="E23" s="7" t="s">
        <v>32</v>
      </c>
      <c r="F23" s="8"/>
      <c r="G23" s="9">
        <v>10</v>
      </c>
      <c r="H23" s="93"/>
      <c r="I23" s="93"/>
      <c r="J23" s="93"/>
      <c r="K23" s="93"/>
      <c r="L23" s="93"/>
      <c r="M23" s="93"/>
      <c r="N23" s="3"/>
    </row>
    <row r="24" spans="1:14" s="1" customFormat="1" ht="15" customHeight="1" x14ac:dyDescent="0.2">
      <c r="A24" s="102"/>
      <c r="B24" s="102"/>
      <c r="C24" s="102"/>
      <c r="D24" s="104"/>
      <c r="E24" s="7" t="s">
        <v>33</v>
      </c>
      <c r="F24" s="10"/>
      <c r="G24" s="11">
        <v>0</v>
      </c>
      <c r="H24" s="94"/>
      <c r="I24" s="94"/>
      <c r="J24" s="94"/>
      <c r="K24" s="94"/>
      <c r="L24" s="94"/>
      <c r="M24" s="94"/>
      <c r="N24" s="3"/>
    </row>
    <row r="25" spans="1:14" s="1" customFormat="1" ht="15" customHeight="1" x14ac:dyDescent="0.2">
      <c r="A25" s="109" t="s">
        <v>34</v>
      </c>
      <c r="B25" s="110"/>
      <c r="C25" s="12"/>
      <c r="D25" s="13" t="s">
        <v>35</v>
      </c>
      <c r="E25" s="7"/>
      <c r="F25" s="7"/>
      <c r="G25" s="37"/>
      <c r="H25" s="37"/>
      <c r="I25" s="37"/>
      <c r="J25" s="37"/>
      <c r="K25" s="37"/>
      <c r="L25" s="37"/>
      <c r="M25" s="37"/>
      <c r="N25" s="3"/>
    </row>
    <row r="26" spans="1:14" s="1" customFormat="1" ht="15" customHeight="1" x14ac:dyDescent="0.2">
      <c r="A26" s="96"/>
      <c r="B26" s="97">
        <v>3</v>
      </c>
      <c r="C26" s="96">
        <v>10</v>
      </c>
      <c r="D26" s="111" t="s">
        <v>36</v>
      </c>
      <c r="E26" s="14" t="s">
        <v>37</v>
      </c>
      <c r="F26" s="14" t="s">
        <v>27</v>
      </c>
      <c r="G26" s="37">
        <v>10</v>
      </c>
      <c r="H26" s="92">
        <v>10</v>
      </c>
      <c r="I26" s="92">
        <v>10</v>
      </c>
      <c r="J26" s="92">
        <v>10</v>
      </c>
      <c r="K26" s="92"/>
      <c r="L26" s="92"/>
      <c r="M26" s="92"/>
      <c r="N26" s="3"/>
    </row>
    <row r="27" spans="1:14" s="1" customFormat="1" ht="15" customHeight="1" x14ac:dyDescent="0.2">
      <c r="A27" s="97"/>
      <c r="B27" s="97"/>
      <c r="C27" s="97"/>
      <c r="D27" s="111"/>
      <c r="E27" s="14" t="s">
        <v>38</v>
      </c>
      <c r="F27" s="14"/>
      <c r="G27" s="37">
        <v>5</v>
      </c>
      <c r="H27" s="93"/>
      <c r="I27" s="93"/>
      <c r="J27" s="93"/>
      <c r="K27" s="93"/>
      <c r="L27" s="93"/>
      <c r="M27" s="93"/>
      <c r="N27" s="3"/>
    </row>
    <row r="28" spans="1:14" s="1" customFormat="1" ht="15" customHeight="1" x14ac:dyDescent="0.2">
      <c r="A28" s="97"/>
      <c r="B28" s="102"/>
      <c r="C28" s="102"/>
      <c r="D28" s="112"/>
      <c r="E28" s="14" t="s">
        <v>39</v>
      </c>
      <c r="F28" s="14"/>
      <c r="G28" s="37">
        <v>0</v>
      </c>
      <c r="H28" s="94"/>
      <c r="I28" s="94"/>
      <c r="J28" s="94"/>
      <c r="K28" s="94"/>
      <c r="L28" s="94"/>
      <c r="M28" s="94"/>
      <c r="N28" s="3"/>
    </row>
    <row r="29" spans="1:14" s="1" customFormat="1" x14ac:dyDescent="0.25">
      <c r="A29" s="15">
        <v>2</v>
      </c>
      <c r="B29" s="16"/>
      <c r="C29" s="17">
        <v>10</v>
      </c>
      <c r="D29" s="18" t="s">
        <v>40</v>
      </c>
      <c r="E29" s="19"/>
      <c r="F29" s="19"/>
      <c r="G29" s="20"/>
      <c r="H29" s="21"/>
      <c r="I29" s="21"/>
      <c r="J29" s="21"/>
      <c r="K29" s="21"/>
      <c r="L29" s="21"/>
      <c r="M29" s="40"/>
      <c r="N29" s="3"/>
    </row>
    <row r="30" spans="1:14" s="1" customFormat="1" ht="14.25" customHeight="1" x14ac:dyDescent="0.2">
      <c r="A30" s="105"/>
      <c r="B30" s="95">
        <v>4</v>
      </c>
      <c r="C30" s="96">
        <v>10</v>
      </c>
      <c r="D30" s="106" t="s">
        <v>41</v>
      </c>
      <c r="E30" s="22" t="s">
        <v>42</v>
      </c>
      <c r="F30" s="22" t="s">
        <v>43</v>
      </c>
      <c r="G30" s="37">
        <v>10</v>
      </c>
      <c r="H30" s="92">
        <v>10</v>
      </c>
      <c r="I30" s="92">
        <v>10</v>
      </c>
      <c r="J30" s="92">
        <v>10</v>
      </c>
      <c r="K30" s="92"/>
      <c r="L30" s="92"/>
      <c r="M30" s="92"/>
      <c r="N30" s="3"/>
    </row>
    <row r="31" spans="1:14" s="1" customFormat="1" ht="14.25" x14ac:dyDescent="0.2">
      <c r="A31" s="105"/>
      <c r="B31" s="95"/>
      <c r="C31" s="97"/>
      <c r="D31" s="107"/>
      <c r="E31" s="22" t="s">
        <v>44</v>
      </c>
      <c r="F31" s="22"/>
      <c r="G31" s="37">
        <v>5</v>
      </c>
      <c r="H31" s="93"/>
      <c r="I31" s="93"/>
      <c r="J31" s="93"/>
      <c r="K31" s="93"/>
      <c r="L31" s="93"/>
      <c r="M31" s="93"/>
      <c r="N31" s="3"/>
    </row>
    <row r="32" spans="1:14" s="1" customFormat="1" ht="14.25" x14ac:dyDescent="0.2">
      <c r="A32" s="105"/>
      <c r="B32" s="95"/>
      <c r="C32" s="102"/>
      <c r="D32" s="108"/>
      <c r="E32" s="22" t="s">
        <v>45</v>
      </c>
      <c r="F32" s="22"/>
      <c r="G32" s="37">
        <v>0</v>
      </c>
      <c r="H32" s="94"/>
      <c r="I32" s="94"/>
      <c r="J32" s="94"/>
      <c r="K32" s="94"/>
      <c r="L32" s="94"/>
      <c r="M32" s="94"/>
      <c r="N32" s="3"/>
    </row>
    <row r="33" spans="1:14" s="1" customFormat="1" x14ac:dyDescent="0.25">
      <c r="A33" s="16">
        <v>3</v>
      </c>
      <c r="B33" s="16"/>
      <c r="C33" s="17">
        <v>40</v>
      </c>
      <c r="D33" s="18" t="s">
        <v>46</v>
      </c>
      <c r="E33" s="23"/>
      <c r="F33" s="23"/>
      <c r="G33" s="24"/>
      <c r="H33" s="25"/>
      <c r="I33" s="25"/>
      <c r="J33" s="25"/>
      <c r="K33" s="25"/>
      <c r="L33" s="25"/>
      <c r="M33" s="26"/>
      <c r="N33" s="3"/>
    </row>
    <row r="34" spans="1:14" s="1" customFormat="1" ht="14.25" x14ac:dyDescent="0.2">
      <c r="A34" s="44"/>
      <c r="B34" s="95">
        <v>6</v>
      </c>
      <c r="C34" s="96">
        <v>20</v>
      </c>
      <c r="D34" s="104" t="s">
        <v>47</v>
      </c>
      <c r="E34" s="7" t="s">
        <v>48</v>
      </c>
      <c r="F34" s="7" t="s">
        <v>49</v>
      </c>
      <c r="G34" s="37">
        <v>20</v>
      </c>
      <c r="H34" s="92">
        <v>20</v>
      </c>
      <c r="I34" s="92">
        <v>20</v>
      </c>
      <c r="J34" s="92">
        <v>20</v>
      </c>
      <c r="K34" s="92"/>
      <c r="L34" s="92"/>
      <c r="M34" s="92"/>
      <c r="N34" s="3"/>
    </row>
    <row r="35" spans="1:14" s="1" customFormat="1" ht="14.25" x14ac:dyDescent="0.2">
      <c r="A35" s="27"/>
      <c r="B35" s="95"/>
      <c r="C35" s="97"/>
      <c r="D35" s="104"/>
      <c r="E35" s="7" t="s">
        <v>50</v>
      </c>
      <c r="F35" s="7"/>
      <c r="G35" s="37">
        <v>10</v>
      </c>
      <c r="H35" s="93"/>
      <c r="I35" s="93"/>
      <c r="J35" s="93"/>
      <c r="K35" s="93"/>
      <c r="L35" s="93"/>
      <c r="M35" s="93"/>
      <c r="N35" s="3"/>
    </row>
    <row r="36" spans="1:14" s="1" customFormat="1" x14ac:dyDescent="0.25">
      <c r="A36" s="16"/>
      <c r="B36" s="95"/>
      <c r="C36" s="102"/>
      <c r="D36" s="104"/>
      <c r="E36" s="7" t="s">
        <v>51</v>
      </c>
      <c r="F36" s="7"/>
      <c r="G36" s="37">
        <v>0</v>
      </c>
      <c r="H36" s="94"/>
      <c r="I36" s="94"/>
      <c r="J36" s="94"/>
      <c r="K36" s="94"/>
      <c r="L36" s="94"/>
      <c r="M36" s="94"/>
      <c r="N36" s="3"/>
    </row>
    <row r="37" spans="1:14" s="1" customFormat="1" ht="14.25" x14ac:dyDescent="0.2">
      <c r="A37" s="100"/>
      <c r="B37" s="95">
        <v>7</v>
      </c>
      <c r="C37" s="96">
        <v>10</v>
      </c>
      <c r="D37" s="98" t="s">
        <v>52</v>
      </c>
      <c r="E37" s="7" t="s">
        <v>53</v>
      </c>
      <c r="F37" s="7"/>
      <c r="G37" s="37">
        <v>10</v>
      </c>
      <c r="H37" s="92">
        <v>10</v>
      </c>
      <c r="I37" s="92">
        <v>10</v>
      </c>
      <c r="J37" s="92">
        <v>10</v>
      </c>
      <c r="K37" s="92"/>
      <c r="L37" s="92"/>
      <c r="M37" s="92"/>
      <c r="N37" s="3"/>
    </row>
    <row r="38" spans="1:14" s="1" customFormat="1" ht="14.25" x14ac:dyDescent="0.2">
      <c r="A38" s="101"/>
      <c r="B38" s="95"/>
      <c r="C38" s="97"/>
      <c r="D38" s="99"/>
      <c r="E38" s="28" t="s">
        <v>54</v>
      </c>
      <c r="F38" s="28"/>
      <c r="G38" s="37">
        <v>5</v>
      </c>
      <c r="H38" s="93"/>
      <c r="I38" s="93"/>
      <c r="J38" s="93"/>
      <c r="K38" s="93"/>
      <c r="L38" s="93"/>
      <c r="M38" s="93"/>
      <c r="N38" s="3"/>
    </row>
    <row r="39" spans="1:14" s="1" customFormat="1" ht="14.25" x14ac:dyDescent="0.2">
      <c r="A39" s="101"/>
      <c r="B39" s="95"/>
      <c r="C39" s="102"/>
      <c r="D39" s="103"/>
      <c r="E39" s="28" t="s">
        <v>55</v>
      </c>
      <c r="F39" s="28"/>
      <c r="G39" s="37">
        <v>0</v>
      </c>
      <c r="H39" s="94"/>
      <c r="I39" s="94"/>
      <c r="J39" s="94"/>
      <c r="K39" s="94"/>
      <c r="L39" s="94"/>
      <c r="M39" s="94"/>
      <c r="N39" s="3"/>
    </row>
    <row r="40" spans="1:14" s="1" customFormat="1" ht="14.25" x14ac:dyDescent="0.2">
      <c r="A40" s="101"/>
      <c r="B40" s="95">
        <v>8</v>
      </c>
      <c r="C40" s="96">
        <v>10</v>
      </c>
      <c r="D40" s="98" t="s">
        <v>56</v>
      </c>
      <c r="E40" s="28" t="s">
        <v>57</v>
      </c>
      <c r="F40" s="28"/>
      <c r="G40" s="37">
        <v>10</v>
      </c>
      <c r="H40" s="92">
        <v>10</v>
      </c>
      <c r="I40" s="92">
        <v>10</v>
      </c>
      <c r="J40" s="92">
        <v>10</v>
      </c>
      <c r="K40" s="92"/>
      <c r="L40" s="92"/>
      <c r="M40" s="92"/>
      <c r="N40" s="3"/>
    </row>
    <row r="41" spans="1:14" s="1" customFormat="1" ht="14.25" x14ac:dyDescent="0.2">
      <c r="A41" s="101"/>
      <c r="B41" s="95"/>
      <c r="C41" s="97"/>
      <c r="D41" s="99"/>
      <c r="E41" s="28" t="s">
        <v>58</v>
      </c>
      <c r="F41" s="28"/>
      <c r="G41" s="37">
        <v>5</v>
      </c>
      <c r="H41" s="93"/>
      <c r="I41" s="93"/>
      <c r="J41" s="93"/>
      <c r="K41" s="93"/>
      <c r="L41" s="93"/>
      <c r="M41" s="93"/>
      <c r="N41" s="3"/>
    </row>
    <row r="42" spans="1:14" s="1" customFormat="1" ht="14.25" x14ac:dyDescent="0.2">
      <c r="A42" s="101"/>
      <c r="B42" s="96"/>
      <c r="C42" s="97"/>
      <c r="D42" s="99"/>
      <c r="E42" s="28" t="s">
        <v>59</v>
      </c>
      <c r="F42" s="28"/>
      <c r="G42" s="37">
        <v>0</v>
      </c>
      <c r="H42" s="94"/>
      <c r="I42" s="94"/>
      <c r="J42" s="94"/>
      <c r="K42" s="94"/>
      <c r="L42" s="94"/>
      <c r="M42" s="94"/>
      <c r="N42" s="3"/>
    </row>
    <row r="43" spans="1:14" s="1" customFormat="1" ht="15" customHeight="1" x14ac:dyDescent="0.25">
      <c r="A43" s="88" t="s">
        <v>60</v>
      </c>
      <c r="B43" s="89"/>
      <c r="C43" s="89"/>
      <c r="D43" s="89"/>
      <c r="E43" s="89"/>
      <c r="F43" s="89"/>
      <c r="G43" s="89"/>
      <c r="H43" s="41">
        <f t="shared" ref="H43:M43" si="0">SUM(H19:H42)</f>
        <v>90</v>
      </c>
      <c r="I43" s="41">
        <f t="shared" si="0"/>
        <v>100</v>
      </c>
      <c r="J43" s="41">
        <f t="shared" si="0"/>
        <v>100</v>
      </c>
      <c r="K43" s="41">
        <f t="shared" si="0"/>
        <v>0</v>
      </c>
      <c r="L43" s="41">
        <f t="shared" si="0"/>
        <v>0</v>
      </c>
      <c r="M43" s="41">
        <f t="shared" si="0"/>
        <v>0</v>
      </c>
    </row>
    <row r="44" spans="1:14" s="1" customFormat="1" ht="15" customHeight="1" x14ac:dyDescent="0.25">
      <c r="A44" s="88" t="s">
        <v>61</v>
      </c>
      <c r="B44" s="89"/>
      <c r="C44" s="89"/>
      <c r="D44" s="89"/>
      <c r="E44" s="89"/>
      <c r="F44" s="89"/>
      <c r="G44" s="89"/>
      <c r="H44" s="41"/>
      <c r="I44" s="41"/>
      <c r="J44" s="41"/>
      <c r="K44" s="41"/>
      <c r="L44" s="41"/>
      <c r="M44" s="41"/>
    </row>
    <row r="45" spans="1:14" s="1" customFormat="1" ht="15" customHeight="1" x14ac:dyDescent="0.2">
      <c r="A45" s="90" t="s">
        <v>121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4" s="1" customFormat="1" ht="15" customHeight="1" x14ac:dyDescent="0.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14" s="1" customFormat="1" ht="13.9" customHeight="1" x14ac:dyDescent="0.2">
      <c r="A47" s="84" t="s">
        <v>96</v>
      </c>
      <c r="B47" s="85"/>
      <c r="C47" s="59"/>
      <c r="E47" s="29"/>
      <c r="F47" s="30"/>
      <c r="G47" s="31"/>
      <c r="H47" s="36"/>
      <c r="I47" s="36"/>
      <c r="J47" s="36"/>
      <c r="K47" s="36"/>
      <c r="L47" s="36"/>
      <c r="M47" s="36"/>
    </row>
    <row r="48" spans="1:14" s="1" customFormat="1" ht="14.45" customHeight="1" x14ac:dyDescent="0.2">
      <c r="A48" s="86"/>
      <c r="B48" s="87"/>
      <c r="C48" s="59"/>
      <c r="E48" s="29"/>
      <c r="F48" s="30"/>
      <c r="G48" s="31"/>
      <c r="H48" s="36"/>
      <c r="I48" s="36"/>
      <c r="J48" s="36"/>
      <c r="K48" s="36"/>
      <c r="L48" s="36"/>
      <c r="M48" s="36"/>
    </row>
    <row r="49" spans="1:13" s="1" customFormat="1" ht="15" customHeight="1" x14ac:dyDescent="0.2">
      <c r="A49" s="86"/>
      <c r="B49" s="87"/>
      <c r="C49" s="59"/>
      <c r="D49" s="57"/>
      <c r="E49" s="52" t="s">
        <v>77</v>
      </c>
      <c r="F49" s="54"/>
      <c r="G49" s="55"/>
      <c r="H49" s="56"/>
      <c r="I49" s="56"/>
      <c r="J49" s="56"/>
      <c r="K49" s="56"/>
      <c r="L49" s="56"/>
      <c r="M49" s="56"/>
    </row>
    <row r="50" spans="1:13" x14ac:dyDescent="0.25">
      <c r="A50" s="86"/>
      <c r="B50" s="87"/>
      <c r="C50" s="62">
        <v>1</v>
      </c>
      <c r="D50" s="67">
        <v>15</v>
      </c>
      <c r="E50" s="66" t="s">
        <v>80</v>
      </c>
      <c r="F50" s="46" t="s">
        <v>102</v>
      </c>
      <c r="G50" s="46">
        <v>5</v>
      </c>
      <c r="H50" s="66">
        <v>5</v>
      </c>
      <c r="I50" s="66">
        <v>5</v>
      </c>
      <c r="J50" s="66">
        <v>5</v>
      </c>
      <c r="K50" s="66"/>
      <c r="L50" s="66"/>
      <c r="M50" s="66"/>
    </row>
    <row r="51" spans="1:13" x14ac:dyDescent="0.25">
      <c r="A51" s="86"/>
      <c r="B51" s="87"/>
      <c r="C51" s="62"/>
      <c r="D51" s="67"/>
      <c r="E51" s="68"/>
      <c r="F51" s="46" t="s">
        <v>103</v>
      </c>
      <c r="G51" s="46">
        <v>0</v>
      </c>
      <c r="H51" s="67"/>
      <c r="I51" s="67"/>
      <c r="J51" s="67"/>
      <c r="K51" s="67"/>
      <c r="L51" s="67"/>
      <c r="M51" s="67"/>
    </row>
    <row r="52" spans="1:13" x14ac:dyDescent="0.25">
      <c r="A52" s="86"/>
      <c r="B52" s="87"/>
      <c r="C52" s="62">
        <v>2</v>
      </c>
      <c r="D52" s="67"/>
      <c r="E52" s="66" t="s">
        <v>78</v>
      </c>
      <c r="F52" s="46" t="s">
        <v>104</v>
      </c>
      <c r="G52" s="46">
        <v>5</v>
      </c>
      <c r="H52" s="66">
        <v>5</v>
      </c>
      <c r="I52" s="66">
        <v>5</v>
      </c>
      <c r="J52" s="66">
        <v>5</v>
      </c>
      <c r="K52" s="66"/>
      <c r="L52" s="66"/>
      <c r="M52" s="66"/>
    </row>
    <row r="53" spans="1:13" x14ac:dyDescent="0.25">
      <c r="A53" s="86"/>
      <c r="B53" s="87"/>
      <c r="C53" s="62"/>
      <c r="D53" s="67"/>
      <c r="E53" s="68"/>
      <c r="F53" s="46" t="s">
        <v>105</v>
      </c>
      <c r="G53" s="46">
        <v>0</v>
      </c>
      <c r="H53" s="67"/>
      <c r="I53" s="67"/>
      <c r="J53" s="67"/>
      <c r="K53" s="67"/>
      <c r="L53" s="67"/>
      <c r="M53" s="67"/>
    </row>
    <row r="54" spans="1:13" x14ac:dyDescent="0.25">
      <c r="A54" s="86"/>
      <c r="B54" s="87"/>
      <c r="C54" s="62">
        <v>3</v>
      </c>
      <c r="D54" s="67"/>
      <c r="E54" s="66" t="s">
        <v>79</v>
      </c>
      <c r="F54" s="46" t="s">
        <v>106</v>
      </c>
      <c r="G54" s="46">
        <v>5</v>
      </c>
      <c r="H54" s="66">
        <v>5</v>
      </c>
      <c r="I54" s="66">
        <v>5</v>
      </c>
      <c r="J54" s="66">
        <v>5</v>
      </c>
      <c r="K54" s="66"/>
      <c r="L54" s="66"/>
      <c r="M54" s="66"/>
    </row>
    <row r="55" spans="1:13" x14ac:dyDescent="0.25">
      <c r="A55" s="86"/>
      <c r="B55" s="87"/>
      <c r="C55" s="62"/>
      <c r="D55" s="67"/>
      <c r="E55" s="67"/>
      <c r="F55" s="46" t="s">
        <v>107</v>
      </c>
      <c r="G55" s="46">
        <v>2.5</v>
      </c>
      <c r="H55" s="67"/>
      <c r="I55" s="67"/>
      <c r="J55" s="67"/>
      <c r="K55" s="67"/>
      <c r="L55" s="67"/>
      <c r="M55" s="67"/>
    </row>
    <row r="56" spans="1:13" x14ac:dyDescent="0.25">
      <c r="A56" s="86"/>
      <c r="B56" s="87"/>
      <c r="C56" s="62"/>
      <c r="D56" s="67"/>
      <c r="E56" s="68"/>
      <c r="F56" s="46" t="s">
        <v>108</v>
      </c>
      <c r="G56" s="46">
        <v>0</v>
      </c>
      <c r="H56" s="67"/>
      <c r="I56" s="67"/>
      <c r="J56" s="67"/>
      <c r="K56" s="67"/>
      <c r="L56" s="67"/>
      <c r="M56" s="67"/>
    </row>
    <row r="57" spans="1:13" x14ac:dyDescent="0.25">
      <c r="A57" s="86"/>
      <c r="B57" s="87"/>
      <c r="C57" s="59"/>
      <c r="D57" s="58"/>
      <c r="E57" s="52" t="s">
        <v>82</v>
      </c>
      <c r="F57" s="50"/>
      <c r="G57" s="50"/>
      <c r="H57" s="51"/>
      <c r="I57" s="51"/>
      <c r="J57" s="51"/>
      <c r="K57" s="51"/>
      <c r="L57" s="51"/>
      <c r="M57" s="51"/>
    </row>
    <row r="58" spans="1:13" x14ac:dyDescent="0.25">
      <c r="A58" s="86"/>
      <c r="B58" s="87"/>
      <c r="C58" s="62">
        <v>4</v>
      </c>
      <c r="D58" s="67">
        <v>65</v>
      </c>
      <c r="E58" s="69" t="s">
        <v>113</v>
      </c>
      <c r="F58" s="46" t="s">
        <v>89</v>
      </c>
      <c r="G58" s="46">
        <v>10</v>
      </c>
      <c r="H58" s="66">
        <v>5</v>
      </c>
      <c r="I58" s="66">
        <v>5</v>
      </c>
      <c r="J58" s="66">
        <v>5</v>
      </c>
      <c r="K58" s="66"/>
      <c r="L58" s="66"/>
      <c r="M58" s="66"/>
    </row>
    <row r="59" spans="1:13" x14ac:dyDescent="0.25">
      <c r="A59" s="86"/>
      <c r="B59" s="87"/>
      <c r="C59" s="62"/>
      <c r="D59" s="67"/>
      <c r="E59" s="69"/>
      <c r="F59" s="46" t="s">
        <v>90</v>
      </c>
      <c r="G59" s="46">
        <v>5</v>
      </c>
      <c r="H59" s="67"/>
      <c r="I59" s="67"/>
      <c r="J59" s="67"/>
      <c r="K59" s="67"/>
      <c r="L59" s="67"/>
      <c r="M59" s="67"/>
    </row>
    <row r="60" spans="1:13" x14ac:dyDescent="0.25">
      <c r="A60" s="86"/>
      <c r="B60" s="87"/>
      <c r="C60" s="62"/>
      <c r="D60" s="67"/>
      <c r="E60" s="69"/>
      <c r="F60" s="46" t="s">
        <v>91</v>
      </c>
      <c r="G60" s="46">
        <v>4</v>
      </c>
      <c r="H60" s="67"/>
      <c r="I60" s="67"/>
      <c r="J60" s="67"/>
      <c r="K60" s="67"/>
      <c r="L60" s="67"/>
      <c r="M60" s="67"/>
    </row>
    <row r="61" spans="1:13" x14ac:dyDescent="0.25">
      <c r="A61" s="86"/>
      <c r="B61" s="87"/>
      <c r="C61" s="62"/>
      <c r="D61" s="67"/>
      <c r="E61" s="69"/>
      <c r="F61" s="46" t="s">
        <v>92</v>
      </c>
      <c r="G61" s="46">
        <v>3</v>
      </c>
      <c r="H61" s="67"/>
      <c r="I61" s="67"/>
      <c r="J61" s="67"/>
      <c r="K61" s="67"/>
      <c r="L61" s="67"/>
      <c r="M61" s="67"/>
    </row>
    <row r="62" spans="1:13" x14ac:dyDescent="0.25">
      <c r="A62" s="86"/>
      <c r="B62" s="87"/>
      <c r="C62" s="62"/>
      <c r="D62" s="67"/>
      <c r="E62" s="69"/>
      <c r="F62" s="46" t="s">
        <v>93</v>
      </c>
      <c r="G62" s="46">
        <v>2</v>
      </c>
      <c r="H62" s="67"/>
      <c r="I62" s="67"/>
      <c r="J62" s="67"/>
      <c r="K62" s="67"/>
      <c r="L62" s="67"/>
      <c r="M62" s="67"/>
    </row>
    <row r="63" spans="1:13" x14ac:dyDescent="0.25">
      <c r="A63" s="86"/>
      <c r="B63" s="87"/>
      <c r="C63" s="62"/>
      <c r="D63" s="67"/>
      <c r="E63" s="69"/>
      <c r="F63" s="46" t="s">
        <v>94</v>
      </c>
      <c r="G63" s="46">
        <v>1</v>
      </c>
      <c r="H63" s="68"/>
      <c r="I63" s="68"/>
      <c r="J63" s="68"/>
      <c r="K63" s="68"/>
      <c r="L63" s="68"/>
      <c r="M63" s="68"/>
    </row>
    <row r="64" spans="1:13" x14ac:dyDescent="0.25">
      <c r="A64" s="86"/>
      <c r="B64" s="87"/>
      <c r="C64" s="62">
        <v>5</v>
      </c>
      <c r="D64" s="67"/>
      <c r="E64" s="69" t="s">
        <v>114</v>
      </c>
      <c r="F64" s="46" t="s">
        <v>89</v>
      </c>
      <c r="G64" s="46">
        <v>5</v>
      </c>
      <c r="H64" s="66">
        <v>4</v>
      </c>
      <c r="I64" s="66">
        <v>4</v>
      </c>
      <c r="J64" s="66">
        <v>4</v>
      </c>
      <c r="K64" s="66"/>
      <c r="L64" s="66"/>
      <c r="M64" s="66"/>
    </row>
    <row r="65" spans="1:13" x14ac:dyDescent="0.25">
      <c r="A65" s="86"/>
      <c r="B65" s="87"/>
      <c r="C65" s="62"/>
      <c r="D65" s="67"/>
      <c r="E65" s="69"/>
      <c r="F65" s="46" t="s">
        <v>90</v>
      </c>
      <c r="G65" s="46">
        <v>4</v>
      </c>
      <c r="H65" s="67"/>
      <c r="I65" s="67"/>
      <c r="J65" s="67"/>
      <c r="K65" s="67"/>
      <c r="L65" s="67"/>
      <c r="M65" s="67"/>
    </row>
    <row r="66" spans="1:13" x14ac:dyDescent="0.25">
      <c r="A66" s="86"/>
      <c r="B66" s="87"/>
      <c r="C66" s="62"/>
      <c r="D66" s="67"/>
      <c r="E66" s="69"/>
      <c r="F66" s="46" t="s">
        <v>91</v>
      </c>
      <c r="G66" s="46">
        <v>3</v>
      </c>
      <c r="H66" s="67"/>
      <c r="I66" s="67"/>
      <c r="J66" s="67"/>
      <c r="K66" s="67"/>
      <c r="L66" s="67"/>
      <c r="M66" s="67"/>
    </row>
    <row r="67" spans="1:13" x14ac:dyDescent="0.25">
      <c r="A67" s="86"/>
      <c r="B67" s="87"/>
      <c r="C67" s="62"/>
      <c r="D67" s="67"/>
      <c r="E67" s="69"/>
      <c r="F67" s="46" t="s">
        <v>92</v>
      </c>
      <c r="G67" s="46">
        <v>2</v>
      </c>
      <c r="H67" s="67"/>
      <c r="I67" s="67"/>
      <c r="J67" s="67"/>
      <c r="K67" s="67"/>
      <c r="L67" s="67"/>
      <c r="M67" s="67"/>
    </row>
    <row r="68" spans="1:13" x14ac:dyDescent="0.25">
      <c r="A68" s="86"/>
      <c r="B68" s="87"/>
      <c r="C68" s="62"/>
      <c r="D68" s="67"/>
      <c r="E68" s="69"/>
      <c r="F68" s="46" t="s">
        <v>93</v>
      </c>
      <c r="G68" s="46">
        <v>1</v>
      </c>
      <c r="H68" s="67"/>
      <c r="I68" s="67"/>
      <c r="J68" s="67"/>
      <c r="K68" s="67"/>
      <c r="L68" s="67"/>
      <c r="M68" s="67"/>
    </row>
    <row r="69" spans="1:13" x14ac:dyDescent="0.25">
      <c r="A69" s="86"/>
      <c r="B69" s="87"/>
      <c r="C69" s="62"/>
      <c r="D69" s="67"/>
      <c r="E69" s="69"/>
      <c r="F69" s="46" t="s">
        <v>94</v>
      </c>
      <c r="G69" s="46">
        <v>0</v>
      </c>
      <c r="H69" s="68"/>
      <c r="I69" s="68"/>
      <c r="J69" s="68"/>
      <c r="K69" s="68"/>
      <c r="L69" s="68"/>
      <c r="M69" s="68"/>
    </row>
    <row r="70" spans="1:13" x14ac:dyDescent="0.25">
      <c r="A70" s="86"/>
      <c r="B70" s="87"/>
      <c r="C70" s="62">
        <v>6</v>
      </c>
      <c r="D70" s="67"/>
      <c r="E70" s="69" t="s">
        <v>122</v>
      </c>
      <c r="F70" s="46" t="s">
        <v>89</v>
      </c>
      <c r="G70" s="46">
        <v>5</v>
      </c>
      <c r="H70" s="66">
        <v>4</v>
      </c>
      <c r="I70" s="66">
        <v>4</v>
      </c>
      <c r="J70" s="66">
        <v>4</v>
      </c>
      <c r="K70" s="66"/>
      <c r="L70" s="66"/>
      <c r="M70" s="66"/>
    </row>
    <row r="71" spans="1:13" x14ac:dyDescent="0.25">
      <c r="A71" s="86"/>
      <c r="B71" s="87"/>
      <c r="C71" s="62"/>
      <c r="D71" s="67"/>
      <c r="E71" s="69"/>
      <c r="F71" s="46" t="s">
        <v>90</v>
      </c>
      <c r="G71" s="46">
        <v>4</v>
      </c>
      <c r="H71" s="67"/>
      <c r="I71" s="67"/>
      <c r="J71" s="67"/>
      <c r="K71" s="67"/>
      <c r="L71" s="67"/>
      <c r="M71" s="67"/>
    </row>
    <row r="72" spans="1:13" x14ac:dyDescent="0.25">
      <c r="A72" s="86"/>
      <c r="B72" s="87"/>
      <c r="C72" s="62"/>
      <c r="D72" s="67"/>
      <c r="E72" s="69"/>
      <c r="F72" s="46" t="s">
        <v>91</v>
      </c>
      <c r="G72" s="46">
        <v>3</v>
      </c>
      <c r="H72" s="67"/>
      <c r="I72" s="67"/>
      <c r="J72" s="67"/>
      <c r="K72" s="67"/>
      <c r="L72" s="67"/>
      <c r="M72" s="67"/>
    </row>
    <row r="73" spans="1:13" x14ac:dyDescent="0.25">
      <c r="A73" s="86"/>
      <c r="B73" s="87"/>
      <c r="C73" s="62"/>
      <c r="D73" s="67"/>
      <c r="E73" s="69"/>
      <c r="F73" s="46" t="s">
        <v>92</v>
      </c>
      <c r="G73" s="46">
        <v>2</v>
      </c>
      <c r="H73" s="67"/>
      <c r="I73" s="67"/>
      <c r="J73" s="67"/>
      <c r="K73" s="67"/>
      <c r="L73" s="67"/>
      <c r="M73" s="67"/>
    </row>
    <row r="74" spans="1:13" x14ac:dyDescent="0.25">
      <c r="A74" s="86"/>
      <c r="B74" s="87"/>
      <c r="C74" s="62"/>
      <c r="D74" s="67"/>
      <c r="E74" s="69"/>
      <c r="F74" s="46" t="s">
        <v>93</v>
      </c>
      <c r="G74" s="46">
        <v>1</v>
      </c>
      <c r="H74" s="67"/>
      <c r="I74" s="67"/>
      <c r="J74" s="67"/>
      <c r="K74" s="67"/>
      <c r="L74" s="67"/>
      <c r="M74" s="67"/>
    </row>
    <row r="75" spans="1:13" x14ac:dyDescent="0.25">
      <c r="A75" s="86"/>
      <c r="B75" s="87"/>
      <c r="C75" s="62"/>
      <c r="D75" s="67"/>
      <c r="E75" s="69"/>
      <c r="F75" s="46" t="s">
        <v>94</v>
      </c>
      <c r="G75" s="46">
        <v>0</v>
      </c>
      <c r="H75" s="68"/>
      <c r="I75" s="68"/>
      <c r="J75" s="68"/>
      <c r="K75" s="68"/>
      <c r="L75" s="68"/>
      <c r="M75" s="68"/>
    </row>
    <row r="76" spans="1:13" x14ac:dyDescent="0.25">
      <c r="A76" s="86"/>
      <c r="B76" s="87"/>
      <c r="C76" s="62">
        <v>7</v>
      </c>
      <c r="D76" s="67"/>
      <c r="E76" s="69" t="s">
        <v>81</v>
      </c>
      <c r="F76" s="46" t="s">
        <v>89</v>
      </c>
      <c r="G76" s="46">
        <v>5</v>
      </c>
      <c r="H76" s="66">
        <v>4</v>
      </c>
      <c r="I76" s="66">
        <v>4</v>
      </c>
      <c r="J76" s="66">
        <v>4</v>
      </c>
      <c r="K76" s="66"/>
      <c r="L76" s="66"/>
      <c r="M76" s="66"/>
    </row>
    <row r="77" spans="1:13" x14ac:dyDescent="0.25">
      <c r="A77" s="86"/>
      <c r="B77" s="87"/>
      <c r="C77" s="62"/>
      <c r="D77" s="67"/>
      <c r="E77" s="69"/>
      <c r="F77" s="46" t="s">
        <v>90</v>
      </c>
      <c r="G77" s="46">
        <v>4</v>
      </c>
      <c r="H77" s="67"/>
      <c r="I77" s="67"/>
      <c r="J77" s="67"/>
      <c r="K77" s="67"/>
      <c r="L77" s="67"/>
      <c r="M77" s="67"/>
    </row>
    <row r="78" spans="1:13" x14ac:dyDescent="0.25">
      <c r="A78" s="86"/>
      <c r="B78" s="87"/>
      <c r="C78" s="62"/>
      <c r="D78" s="67"/>
      <c r="E78" s="69"/>
      <c r="F78" s="46" t="s">
        <v>91</v>
      </c>
      <c r="G78" s="46">
        <v>3</v>
      </c>
      <c r="H78" s="67"/>
      <c r="I78" s="67"/>
      <c r="J78" s="67"/>
      <c r="K78" s="67"/>
      <c r="L78" s="67"/>
      <c r="M78" s="67"/>
    </row>
    <row r="79" spans="1:13" x14ac:dyDescent="0.25">
      <c r="A79" s="86"/>
      <c r="B79" s="87"/>
      <c r="C79" s="62"/>
      <c r="D79" s="67"/>
      <c r="E79" s="69"/>
      <c r="F79" s="46" t="s">
        <v>92</v>
      </c>
      <c r="G79" s="46">
        <v>2</v>
      </c>
      <c r="H79" s="67"/>
      <c r="I79" s="67"/>
      <c r="J79" s="67"/>
      <c r="K79" s="67"/>
      <c r="L79" s="67"/>
      <c r="M79" s="67"/>
    </row>
    <row r="80" spans="1:13" x14ac:dyDescent="0.25">
      <c r="A80" s="86"/>
      <c r="B80" s="87"/>
      <c r="C80" s="62"/>
      <c r="D80" s="67"/>
      <c r="E80" s="69"/>
      <c r="F80" s="46" t="s">
        <v>93</v>
      </c>
      <c r="G80" s="46">
        <v>1</v>
      </c>
      <c r="H80" s="67"/>
      <c r="I80" s="67"/>
      <c r="J80" s="67"/>
      <c r="K80" s="67"/>
      <c r="L80" s="67"/>
      <c r="M80" s="67"/>
    </row>
    <row r="81" spans="1:13" x14ac:dyDescent="0.25">
      <c r="A81" s="86"/>
      <c r="B81" s="87"/>
      <c r="C81" s="62"/>
      <c r="D81" s="67"/>
      <c r="E81" s="69"/>
      <c r="F81" s="46" t="s">
        <v>94</v>
      </c>
      <c r="G81" s="46">
        <v>0</v>
      </c>
      <c r="H81" s="68"/>
      <c r="I81" s="68"/>
      <c r="J81" s="68"/>
      <c r="K81" s="68"/>
      <c r="L81" s="68"/>
      <c r="M81" s="68"/>
    </row>
    <row r="82" spans="1:13" x14ac:dyDescent="0.25">
      <c r="A82" s="86"/>
      <c r="B82" s="87"/>
      <c r="C82" s="62">
        <v>8</v>
      </c>
      <c r="D82" s="67"/>
      <c r="E82" s="69" t="s">
        <v>123</v>
      </c>
      <c r="F82" s="46" t="s">
        <v>89</v>
      </c>
      <c r="G82" s="46">
        <v>5</v>
      </c>
      <c r="H82" s="66">
        <v>4</v>
      </c>
      <c r="I82" s="66">
        <v>4</v>
      </c>
      <c r="J82" s="66">
        <v>4</v>
      </c>
      <c r="K82" s="66"/>
      <c r="L82" s="66"/>
      <c r="M82" s="66"/>
    </row>
    <row r="83" spans="1:13" x14ac:dyDescent="0.25">
      <c r="A83" s="86"/>
      <c r="B83" s="87"/>
      <c r="C83" s="62"/>
      <c r="D83" s="67"/>
      <c r="E83" s="69"/>
      <c r="F83" s="46" t="s">
        <v>90</v>
      </c>
      <c r="G83" s="46">
        <v>4</v>
      </c>
      <c r="H83" s="67"/>
      <c r="I83" s="67"/>
      <c r="J83" s="67"/>
      <c r="K83" s="67"/>
      <c r="L83" s="67"/>
      <c r="M83" s="67"/>
    </row>
    <row r="84" spans="1:13" x14ac:dyDescent="0.25">
      <c r="A84" s="86"/>
      <c r="B84" s="87"/>
      <c r="C84" s="62"/>
      <c r="D84" s="67"/>
      <c r="E84" s="69"/>
      <c r="F84" s="46" t="s">
        <v>91</v>
      </c>
      <c r="G84" s="46">
        <v>3</v>
      </c>
      <c r="H84" s="67"/>
      <c r="I84" s="67"/>
      <c r="J84" s="67"/>
      <c r="K84" s="67"/>
      <c r="L84" s="67"/>
      <c r="M84" s="67"/>
    </row>
    <row r="85" spans="1:13" x14ac:dyDescent="0.25">
      <c r="A85" s="86"/>
      <c r="B85" s="87"/>
      <c r="C85" s="62"/>
      <c r="D85" s="67"/>
      <c r="E85" s="69"/>
      <c r="F85" s="46" t="s">
        <v>92</v>
      </c>
      <c r="G85" s="46">
        <v>2</v>
      </c>
      <c r="H85" s="67"/>
      <c r="I85" s="67"/>
      <c r="J85" s="67"/>
      <c r="K85" s="67"/>
      <c r="L85" s="67"/>
      <c r="M85" s="67"/>
    </row>
    <row r="86" spans="1:13" x14ac:dyDescent="0.25">
      <c r="A86" s="86"/>
      <c r="B86" s="87"/>
      <c r="C86" s="62"/>
      <c r="D86" s="67"/>
      <c r="E86" s="69"/>
      <c r="F86" s="46" t="s">
        <v>93</v>
      </c>
      <c r="G86" s="46">
        <v>1</v>
      </c>
      <c r="H86" s="67"/>
      <c r="I86" s="67"/>
      <c r="J86" s="67"/>
      <c r="K86" s="67"/>
      <c r="L86" s="67"/>
      <c r="M86" s="67"/>
    </row>
    <row r="87" spans="1:13" x14ac:dyDescent="0.25">
      <c r="A87" s="86"/>
      <c r="B87" s="87"/>
      <c r="C87" s="62"/>
      <c r="D87" s="67"/>
      <c r="E87" s="69"/>
      <c r="F87" s="46" t="s">
        <v>94</v>
      </c>
      <c r="G87" s="46">
        <v>0</v>
      </c>
      <c r="H87" s="68"/>
      <c r="I87" s="68"/>
      <c r="J87" s="68"/>
      <c r="K87" s="68"/>
      <c r="L87" s="68"/>
      <c r="M87" s="68"/>
    </row>
    <row r="88" spans="1:13" x14ac:dyDescent="0.25">
      <c r="A88" s="86"/>
      <c r="B88" s="87"/>
      <c r="C88" s="62">
        <v>9</v>
      </c>
      <c r="D88" s="67"/>
      <c r="E88" s="69" t="s">
        <v>109</v>
      </c>
      <c r="F88" s="46" t="s">
        <v>89</v>
      </c>
      <c r="G88" s="46">
        <v>5</v>
      </c>
      <c r="H88" s="66">
        <v>4</v>
      </c>
      <c r="I88" s="66">
        <v>4</v>
      </c>
      <c r="J88" s="66">
        <v>4</v>
      </c>
      <c r="K88" s="66"/>
      <c r="L88" s="66"/>
      <c r="M88" s="66"/>
    </row>
    <row r="89" spans="1:13" x14ac:dyDescent="0.25">
      <c r="A89" s="86"/>
      <c r="B89" s="87"/>
      <c r="C89" s="62"/>
      <c r="D89" s="67"/>
      <c r="E89" s="69"/>
      <c r="F89" s="46" t="s">
        <v>90</v>
      </c>
      <c r="G89" s="46">
        <v>4</v>
      </c>
      <c r="H89" s="67"/>
      <c r="I89" s="67"/>
      <c r="J89" s="67"/>
      <c r="K89" s="67"/>
      <c r="L89" s="67"/>
      <c r="M89" s="67"/>
    </row>
    <row r="90" spans="1:13" x14ac:dyDescent="0.25">
      <c r="A90" s="86"/>
      <c r="B90" s="87"/>
      <c r="C90" s="62"/>
      <c r="D90" s="67"/>
      <c r="E90" s="69"/>
      <c r="F90" s="46" t="s">
        <v>91</v>
      </c>
      <c r="G90" s="46">
        <v>3</v>
      </c>
      <c r="H90" s="67"/>
      <c r="I90" s="67"/>
      <c r="J90" s="67"/>
      <c r="K90" s="67"/>
      <c r="L90" s="67"/>
      <c r="M90" s="67"/>
    </row>
    <row r="91" spans="1:13" x14ac:dyDescent="0.25">
      <c r="A91" s="86"/>
      <c r="B91" s="87"/>
      <c r="C91" s="62"/>
      <c r="D91" s="67"/>
      <c r="E91" s="69"/>
      <c r="F91" s="46" t="s">
        <v>92</v>
      </c>
      <c r="G91" s="46">
        <v>2</v>
      </c>
      <c r="H91" s="67"/>
      <c r="I91" s="67"/>
      <c r="J91" s="67"/>
      <c r="K91" s="67"/>
      <c r="L91" s="67"/>
      <c r="M91" s="67"/>
    </row>
    <row r="92" spans="1:13" x14ac:dyDescent="0.25">
      <c r="A92" s="86"/>
      <c r="B92" s="87"/>
      <c r="C92" s="62"/>
      <c r="D92" s="67"/>
      <c r="E92" s="69"/>
      <c r="F92" s="46" t="s">
        <v>93</v>
      </c>
      <c r="G92" s="46">
        <v>1</v>
      </c>
      <c r="H92" s="67"/>
      <c r="I92" s="67"/>
      <c r="J92" s="67"/>
      <c r="K92" s="67"/>
      <c r="L92" s="67"/>
      <c r="M92" s="67"/>
    </row>
    <row r="93" spans="1:13" x14ac:dyDescent="0.25">
      <c r="A93" s="86"/>
      <c r="B93" s="87"/>
      <c r="C93" s="62"/>
      <c r="D93" s="67"/>
      <c r="E93" s="69"/>
      <c r="F93" s="46" t="s">
        <v>94</v>
      </c>
      <c r="G93" s="46">
        <v>0</v>
      </c>
      <c r="H93" s="68"/>
      <c r="I93" s="68"/>
      <c r="J93" s="68"/>
      <c r="K93" s="68"/>
      <c r="L93" s="68"/>
      <c r="M93" s="68"/>
    </row>
    <row r="94" spans="1:13" x14ac:dyDescent="0.25">
      <c r="A94" s="86"/>
      <c r="B94" s="87"/>
      <c r="C94" s="62">
        <v>10</v>
      </c>
      <c r="D94" s="67"/>
      <c r="E94" s="76" t="s">
        <v>88</v>
      </c>
      <c r="F94" s="46" t="s">
        <v>89</v>
      </c>
      <c r="G94" s="46">
        <v>5</v>
      </c>
      <c r="H94" s="66">
        <v>5</v>
      </c>
      <c r="I94" s="66">
        <v>5</v>
      </c>
      <c r="J94" s="66">
        <v>5</v>
      </c>
      <c r="K94" s="66"/>
      <c r="L94" s="66"/>
      <c r="M94" s="66"/>
    </row>
    <row r="95" spans="1:13" x14ac:dyDescent="0.25">
      <c r="A95" s="86"/>
      <c r="B95" s="87"/>
      <c r="C95" s="62"/>
      <c r="D95" s="67"/>
      <c r="E95" s="76"/>
      <c r="F95" s="46" t="s">
        <v>90</v>
      </c>
      <c r="G95" s="46">
        <v>4</v>
      </c>
      <c r="H95" s="67"/>
      <c r="I95" s="67"/>
      <c r="J95" s="67"/>
      <c r="K95" s="67"/>
      <c r="L95" s="67"/>
      <c r="M95" s="67"/>
    </row>
    <row r="96" spans="1:13" x14ac:dyDescent="0.25">
      <c r="A96" s="86"/>
      <c r="B96" s="87"/>
      <c r="C96" s="62"/>
      <c r="D96" s="67"/>
      <c r="E96" s="76"/>
      <c r="F96" s="46" t="s">
        <v>91</v>
      </c>
      <c r="G96" s="46">
        <v>3</v>
      </c>
      <c r="H96" s="67"/>
      <c r="I96" s="67"/>
      <c r="J96" s="67"/>
      <c r="K96" s="67"/>
      <c r="L96" s="67"/>
      <c r="M96" s="67"/>
    </row>
    <row r="97" spans="1:19" x14ac:dyDescent="0.25">
      <c r="A97" s="86"/>
      <c r="B97" s="87"/>
      <c r="C97" s="62"/>
      <c r="D97" s="67"/>
      <c r="E97" s="76"/>
      <c r="F97" s="46" t="s">
        <v>92</v>
      </c>
      <c r="G97" s="46">
        <v>2</v>
      </c>
      <c r="H97" s="67"/>
      <c r="I97" s="67"/>
      <c r="J97" s="67"/>
      <c r="K97" s="67"/>
      <c r="L97" s="67"/>
      <c r="M97" s="67"/>
    </row>
    <row r="98" spans="1:19" x14ac:dyDescent="0.25">
      <c r="A98" s="86"/>
      <c r="B98" s="87"/>
      <c r="C98" s="62"/>
      <c r="D98" s="67"/>
      <c r="E98" s="76"/>
      <c r="F98" s="46" t="s">
        <v>93</v>
      </c>
      <c r="G98" s="46">
        <v>1</v>
      </c>
      <c r="H98" s="67"/>
      <c r="I98" s="67"/>
      <c r="J98" s="67"/>
      <c r="K98" s="67"/>
      <c r="L98" s="67"/>
      <c r="M98" s="67"/>
    </row>
    <row r="99" spans="1:19" x14ac:dyDescent="0.25">
      <c r="A99" s="86"/>
      <c r="B99" s="87"/>
      <c r="C99" s="62"/>
      <c r="D99" s="67"/>
      <c r="E99" s="76"/>
      <c r="F99" s="46" t="s">
        <v>94</v>
      </c>
      <c r="G99" s="46">
        <v>0</v>
      </c>
      <c r="H99" s="68"/>
      <c r="I99" s="68"/>
      <c r="J99" s="68"/>
      <c r="K99" s="68"/>
      <c r="L99" s="68"/>
      <c r="M99" s="68"/>
    </row>
    <row r="100" spans="1:19" x14ac:dyDescent="0.25">
      <c r="A100" s="86"/>
      <c r="B100" s="87"/>
      <c r="C100" s="62">
        <v>11</v>
      </c>
      <c r="D100" s="67"/>
      <c r="E100" s="69" t="s">
        <v>112</v>
      </c>
      <c r="F100" s="46" t="s">
        <v>89</v>
      </c>
      <c r="G100" s="46">
        <v>5</v>
      </c>
      <c r="H100" s="66">
        <v>5</v>
      </c>
      <c r="I100" s="66">
        <v>5</v>
      </c>
      <c r="J100" s="66">
        <v>5</v>
      </c>
      <c r="K100" s="66"/>
      <c r="L100" s="66"/>
      <c r="M100" s="66"/>
    </row>
    <row r="101" spans="1:19" x14ac:dyDescent="0.25">
      <c r="A101" s="86"/>
      <c r="B101" s="87"/>
      <c r="C101" s="62"/>
      <c r="D101" s="67"/>
      <c r="E101" s="69"/>
      <c r="F101" s="46" t="s">
        <v>90</v>
      </c>
      <c r="G101" s="46">
        <v>4</v>
      </c>
      <c r="H101" s="67"/>
      <c r="I101" s="67"/>
      <c r="J101" s="67"/>
      <c r="K101" s="67"/>
      <c r="L101" s="67"/>
      <c r="M101" s="67"/>
    </row>
    <row r="102" spans="1:19" x14ac:dyDescent="0.25">
      <c r="A102" s="86"/>
      <c r="B102" s="87"/>
      <c r="C102" s="62"/>
      <c r="D102" s="67"/>
      <c r="E102" s="69"/>
      <c r="F102" s="46" t="s">
        <v>91</v>
      </c>
      <c r="G102" s="46">
        <v>3</v>
      </c>
      <c r="H102" s="67"/>
      <c r="I102" s="67"/>
      <c r="J102" s="67"/>
      <c r="K102" s="67"/>
      <c r="L102" s="67"/>
      <c r="M102" s="67"/>
    </row>
    <row r="103" spans="1:19" x14ac:dyDescent="0.25">
      <c r="A103" s="86"/>
      <c r="B103" s="87"/>
      <c r="C103" s="62"/>
      <c r="D103" s="67"/>
      <c r="E103" s="69"/>
      <c r="F103" s="46" t="s">
        <v>92</v>
      </c>
      <c r="G103" s="46">
        <v>2</v>
      </c>
      <c r="H103" s="67"/>
      <c r="I103" s="67"/>
      <c r="J103" s="67"/>
      <c r="K103" s="67"/>
      <c r="L103" s="67"/>
      <c r="M103" s="67"/>
    </row>
    <row r="104" spans="1:19" x14ac:dyDescent="0.25">
      <c r="A104" s="86"/>
      <c r="B104" s="87"/>
      <c r="C104" s="62"/>
      <c r="D104" s="67"/>
      <c r="E104" s="69"/>
      <c r="F104" s="46" t="s">
        <v>93</v>
      </c>
      <c r="G104" s="46">
        <v>1</v>
      </c>
      <c r="H104" s="67"/>
      <c r="I104" s="67"/>
      <c r="J104" s="67"/>
      <c r="K104" s="67"/>
      <c r="L104" s="67"/>
      <c r="M104" s="67"/>
    </row>
    <row r="105" spans="1:19" x14ac:dyDescent="0.25">
      <c r="A105" s="86"/>
      <c r="B105" s="87"/>
      <c r="C105" s="62"/>
      <c r="D105" s="67"/>
      <c r="E105" s="69"/>
      <c r="F105" s="46" t="s">
        <v>94</v>
      </c>
      <c r="G105" s="46">
        <v>0</v>
      </c>
      <c r="H105" s="68"/>
      <c r="I105" s="68"/>
      <c r="J105" s="68"/>
      <c r="K105" s="68"/>
      <c r="L105" s="68"/>
      <c r="M105" s="68"/>
    </row>
    <row r="106" spans="1:19" x14ac:dyDescent="0.25">
      <c r="A106" s="86"/>
      <c r="B106" s="87"/>
      <c r="C106" s="62">
        <v>12</v>
      </c>
      <c r="D106" s="67"/>
      <c r="E106" s="69" t="s">
        <v>95</v>
      </c>
      <c r="F106" s="46" t="s">
        <v>89</v>
      </c>
      <c r="G106" s="46">
        <v>5</v>
      </c>
      <c r="H106" s="66">
        <v>4</v>
      </c>
      <c r="I106" s="66">
        <v>4</v>
      </c>
      <c r="J106" s="66">
        <v>4</v>
      </c>
      <c r="K106" s="66"/>
      <c r="L106" s="66"/>
      <c r="M106" s="66"/>
      <c r="Q106" s="47"/>
      <c r="R106" s="48"/>
      <c r="S106" s="48"/>
    </row>
    <row r="107" spans="1:19" x14ac:dyDescent="0.25">
      <c r="A107" s="86"/>
      <c r="B107" s="87"/>
      <c r="C107" s="62"/>
      <c r="D107" s="67"/>
      <c r="E107" s="69"/>
      <c r="F107" s="46" t="s">
        <v>90</v>
      </c>
      <c r="G107" s="46">
        <v>4</v>
      </c>
      <c r="H107" s="67"/>
      <c r="I107" s="67"/>
      <c r="J107" s="67"/>
      <c r="K107" s="67"/>
      <c r="L107" s="67"/>
      <c r="M107" s="67"/>
      <c r="Q107" s="47"/>
      <c r="R107" s="48"/>
      <c r="S107" s="48"/>
    </row>
    <row r="108" spans="1:19" x14ac:dyDescent="0.25">
      <c r="A108" s="86"/>
      <c r="B108" s="87"/>
      <c r="C108" s="62"/>
      <c r="D108" s="67"/>
      <c r="E108" s="69"/>
      <c r="F108" s="46" t="s">
        <v>91</v>
      </c>
      <c r="G108" s="46">
        <v>3</v>
      </c>
      <c r="H108" s="67"/>
      <c r="I108" s="67"/>
      <c r="J108" s="67"/>
      <c r="K108" s="67"/>
      <c r="L108" s="67"/>
      <c r="M108" s="67"/>
      <c r="Q108" s="47"/>
      <c r="R108" s="48"/>
      <c r="S108" s="48"/>
    </row>
    <row r="109" spans="1:19" x14ac:dyDescent="0.25">
      <c r="A109" s="86"/>
      <c r="B109" s="87"/>
      <c r="C109" s="62"/>
      <c r="D109" s="67"/>
      <c r="E109" s="69"/>
      <c r="F109" s="46" t="s">
        <v>92</v>
      </c>
      <c r="G109" s="46">
        <v>2</v>
      </c>
      <c r="H109" s="67"/>
      <c r="I109" s="67"/>
      <c r="J109" s="67"/>
      <c r="K109" s="67"/>
      <c r="L109" s="67"/>
      <c r="M109" s="67"/>
      <c r="Q109" s="47"/>
      <c r="R109" s="48"/>
      <c r="S109" s="48"/>
    </row>
    <row r="110" spans="1:19" x14ac:dyDescent="0.25">
      <c r="A110" s="86"/>
      <c r="B110" s="87"/>
      <c r="C110" s="62"/>
      <c r="D110" s="67"/>
      <c r="E110" s="69"/>
      <c r="F110" s="46" t="s">
        <v>93</v>
      </c>
      <c r="G110" s="46">
        <v>1</v>
      </c>
      <c r="H110" s="67"/>
      <c r="I110" s="67"/>
      <c r="J110" s="67"/>
      <c r="K110" s="67"/>
      <c r="L110" s="67"/>
      <c r="M110" s="67"/>
      <c r="Q110" s="47"/>
      <c r="R110" s="48"/>
      <c r="S110" s="48"/>
    </row>
    <row r="111" spans="1:19" x14ac:dyDescent="0.25">
      <c r="A111" s="86"/>
      <c r="B111" s="87"/>
      <c r="C111" s="62"/>
      <c r="D111" s="67"/>
      <c r="E111" s="69"/>
      <c r="F111" s="46" t="s">
        <v>94</v>
      </c>
      <c r="G111" s="46">
        <v>0</v>
      </c>
      <c r="H111" s="68"/>
      <c r="I111" s="68"/>
      <c r="J111" s="68"/>
      <c r="K111" s="68"/>
      <c r="L111" s="68"/>
      <c r="M111" s="68"/>
      <c r="Q111" s="47"/>
      <c r="R111" s="48"/>
      <c r="S111" s="48"/>
    </row>
    <row r="112" spans="1:19" x14ac:dyDescent="0.25">
      <c r="A112" s="86"/>
      <c r="B112" s="87"/>
      <c r="C112" s="62">
        <v>13</v>
      </c>
      <c r="D112" s="67"/>
      <c r="E112" s="69" t="s">
        <v>124</v>
      </c>
      <c r="F112" s="46" t="s">
        <v>89</v>
      </c>
      <c r="G112" s="46">
        <v>5</v>
      </c>
      <c r="H112" s="66">
        <v>4</v>
      </c>
      <c r="I112" s="66">
        <v>4</v>
      </c>
      <c r="J112" s="66">
        <v>4</v>
      </c>
      <c r="K112" s="66"/>
      <c r="L112" s="66"/>
      <c r="M112" s="66"/>
      <c r="Q112" s="47"/>
      <c r="R112" s="48"/>
      <c r="S112" s="48"/>
    </row>
    <row r="113" spans="1:19" x14ac:dyDescent="0.25">
      <c r="A113" s="86"/>
      <c r="B113" s="87"/>
      <c r="C113" s="62"/>
      <c r="D113" s="67"/>
      <c r="E113" s="69"/>
      <c r="F113" s="46" t="s">
        <v>90</v>
      </c>
      <c r="G113" s="46">
        <v>4</v>
      </c>
      <c r="H113" s="67"/>
      <c r="I113" s="67"/>
      <c r="J113" s="67"/>
      <c r="K113" s="67"/>
      <c r="L113" s="67"/>
      <c r="M113" s="67"/>
      <c r="Q113" s="47"/>
      <c r="R113" s="48"/>
      <c r="S113" s="48"/>
    </row>
    <row r="114" spans="1:19" x14ac:dyDescent="0.25">
      <c r="A114" s="86"/>
      <c r="B114" s="87"/>
      <c r="C114" s="62"/>
      <c r="D114" s="67"/>
      <c r="E114" s="69"/>
      <c r="F114" s="46" t="s">
        <v>91</v>
      </c>
      <c r="G114" s="46">
        <v>3</v>
      </c>
      <c r="H114" s="67"/>
      <c r="I114" s="67"/>
      <c r="J114" s="67"/>
      <c r="K114" s="67"/>
      <c r="L114" s="67"/>
      <c r="M114" s="67"/>
      <c r="Q114" s="47"/>
      <c r="R114" s="48"/>
      <c r="S114" s="48"/>
    </row>
    <row r="115" spans="1:19" x14ac:dyDescent="0.25">
      <c r="A115" s="86"/>
      <c r="B115" s="87"/>
      <c r="C115" s="62"/>
      <c r="D115" s="67"/>
      <c r="E115" s="69"/>
      <c r="F115" s="46" t="s">
        <v>92</v>
      </c>
      <c r="G115" s="46">
        <v>2</v>
      </c>
      <c r="H115" s="67"/>
      <c r="I115" s="67"/>
      <c r="J115" s="67"/>
      <c r="K115" s="67"/>
      <c r="L115" s="67"/>
      <c r="M115" s="67"/>
      <c r="Q115" s="47"/>
      <c r="R115" s="48"/>
      <c r="S115" s="48"/>
    </row>
    <row r="116" spans="1:19" x14ac:dyDescent="0.25">
      <c r="A116" s="86"/>
      <c r="B116" s="87"/>
      <c r="C116" s="62"/>
      <c r="D116" s="67"/>
      <c r="E116" s="69"/>
      <c r="F116" s="46" t="s">
        <v>93</v>
      </c>
      <c r="G116" s="46">
        <v>1</v>
      </c>
      <c r="H116" s="67"/>
      <c r="I116" s="67"/>
      <c r="J116" s="67"/>
      <c r="K116" s="67"/>
      <c r="L116" s="67"/>
      <c r="M116" s="67"/>
      <c r="Q116" s="47"/>
      <c r="R116" s="48"/>
      <c r="S116" s="48"/>
    </row>
    <row r="117" spans="1:19" x14ac:dyDescent="0.25">
      <c r="A117" s="86"/>
      <c r="B117" s="87"/>
      <c r="C117" s="62"/>
      <c r="D117" s="67"/>
      <c r="E117" s="69"/>
      <c r="F117" s="46" t="s">
        <v>94</v>
      </c>
      <c r="G117" s="46">
        <v>0</v>
      </c>
      <c r="H117" s="68"/>
      <c r="I117" s="68"/>
      <c r="J117" s="68"/>
      <c r="K117" s="68"/>
      <c r="L117" s="68"/>
      <c r="M117" s="68"/>
      <c r="Q117" s="47"/>
      <c r="R117" s="48"/>
      <c r="S117" s="48"/>
    </row>
    <row r="118" spans="1:19" ht="14.45" customHeight="1" x14ac:dyDescent="0.25">
      <c r="A118" s="86"/>
      <c r="B118" s="87"/>
      <c r="C118" s="62">
        <v>14</v>
      </c>
      <c r="D118" s="67"/>
      <c r="E118" s="70" t="s">
        <v>97</v>
      </c>
      <c r="F118" s="46" t="s">
        <v>98</v>
      </c>
      <c r="G118" s="46">
        <v>10</v>
      </c>
      <c r="H118" s="66">
        <v>5</v>
      </c>
      <c r="I118" s="66">
        <v>5</v>
      </c>
      <c r="J118" s="66">
        <v>5</v>
      </c>
      <c r="K118" s="66"/>
      <c r="L118" s="66"/>
      <c r="M118" s="66"/>
      <c r="Q118" s="47"/>
      <c r="R118" s="48"/>
      <c r="S118" s="48"/>
    </row>
    <row r="119" spans="1:19" x14ac:dyDescent="0.25">
      <c r="A119" s="86"/>
      <c r="B119" s="87"/>
      <c r="C119" s="62"/>
      <c r="D119" s="67"/>
      <c r="E119" s="71"/>
      <c r="F119" s="46" t="s">
        <v>110</v>
      </c>
      <c r="G119" s="46">
        <v>5</v>
      </c>
      <c r="H119" s="67"/>
      <c r="I119" s="67"/>
      <c r="J119" s="67"/>
      <c r="K119" s="67"/>
      <c r="L119" s="67"/>
      <c r="M119" s="67"/>
      <c r="Q119" s="47"/>
      <c r="R119" s="48"/>
      <c r="S119" s="48"/>
    </row>
    <row r="120" spans="1:19" x14ac:dyDescent="0.25">
      <c r="A120" s="86"/>
      <c r="B120" s="87"/>
      <c r="C120" s="62"/>
      <c r="D120" s="67"/>
      <c r="E120" s="72"/>
      <c r="F120" s="46" t="s">
        <v>111</v>
      </c>
      <c r="G120" s="46">
        <v>-10</v>
      </c>
      <c r="H120" s="68"/>
      <c r="I120" s="68"/>
      <c r="J120" s="68"/>
      <c r="K120" s="68"/>
      <c r="L120" s="68"/>
      <c r="M120" s="68"/>
      <c r="Q120" s="47"/>
      <c r="R120" s="48"/>
      <c r="S120" s="48"/>
    </row>
    <row r="121" spans="1:19" x14ac:dyDescent="0.25">
      <c r="A121" s="86"/>
      <c r="B121" s="87"/>
      <c r="C121" s="59"/>
      <c r="D121" s="58"/>
      <c r="E121" s="49" t="s">
        <v>83</v>
      </c>
      <c r="F121" s="50"/>
      <c r="G121" s="50"/>
      <c r="H121" s="51"/>
      <c r="I121" s="51"/>
      <c r="J121" s="51"/>
      <c r="K121" s="51"/>
      <c r="L121" s="51"/>
      <c r="M121" s="51"/>
      <c r="Q121" s="47"/>
      <c r="R121" s="48"/>
      <c r="S121" s="48"/>
    </row>
    <row r="122" spans="1:19" x14ac:dyDescent="0.25">
      <c r="A122" s="86"/>
      <c r="B122" s="87"/>
      <c r="C122" s="62">
        <v>15</v>
      </c>
      <c r="D122" s="67">
        <v>20</v>
      </c>
      <c r="E122" s="69" t="s">
        <v>132</v>
      </c>
      <c r="F122" s="46" t="s">
        <v>99</v>
      </c>
      <c r="G122" s="46">
        <v>5</v>
      </c>
      <c r="H122" s="66">
        <v>3</v>
      </c>
      <c r="I122" s="66">
        <v>3</v>
      </c>
      <c r="J122" s="66">
        <v>3</v>
      </c>
      <c r="K122" s="66"/>
      <c r="L122" s="66"/>
      <c r="M122" s="66"/>
      <c r="Q122" s="47"/>
      <c r="R122" s="48"/>
      <c r="S122" s="48"/>
    </row>
    <row r="123" spans="1:19" x14ac:dyDescent="0.25">
      <c r="A123" s="86"/>
      <c r="B123" s="87"/>
      <c r="C123" s="62"/>
      <c r="D123" s="67"/>
      <c r="E123" s="69"/>
      <c r="F123" s="46" t="s">
        <v>100</v>
      </c>
      <c r="G123" s="46">
        <v>4</v>
      </c>
      <c r="H123" s="67"/>
      <c r="I123" s="67"/>
      <c r="J123" s="67"/>
      <c r="K123" s="67"/>
      <c r="L123" s="67"/>
      <c r="M123" s="67"/>
      <c r="Q123" s="47"/>
      <c r="R123" s="48"/>
      <c r="S123" s="48"/>
    </row>
    <row r="124" spans="1:19" x14ac:dyDescent="0.25">
      <c r="A124" s="86"/>
      <c r="B124" s="87"/>
      <c r="C124" s="62"/>
      <c r="D124" s="67"/>
      <c r="E124" s="69"/>
      <c r="F124" s="46" t="s">
        <v>101</v>
      </c>
      <c r="G124" s="46">
        <v>3</v>
      </c>
      <c r="H124" s="67"/>
      <c r="I124" s="67"/>
      <c r="J124" s="67"/>
      <c r="K124" s="67"/>
      <c r="L124" s="67"/>
      <c r="M124" s="67"/>
    </row>
    <row r="125" spans="1:19" x14ac:dyDescent="0.25">
      <c r="A125" s="86"/>
      <c r="B125" s="87"/>
      <c r="C125" s="62"/>
      <c r="D125" s="67"/>
      <c r="E125" s="69"/>
      <c r="F125" s="46" t="s">
        <v>92</v>
      </c>
      <c r="G125" s="46">
        <v>2</v>
      </c>
      <c r="H125" s="67"/>
      <c r="I125" s="67"/>
      <c r="J125" s="67"/>
      <c r="K125" s="67"/>
      <c r="L125" s="67"/>
      <c r="M125" s="67"/>
    </row>
    <row r="126" spans="1:19" x14ac:dyDescent="0.25">
      <c r="A126" s="86"/>
      <c r="B126" s="87"/>
      <c r="C126" s="62"/>
      <c r="D126" s="67"/>
      <c r="E126" s="69"/>
      <c r="F126" s="46" t="s">
        <v>93</v>
      </c>
      <c r="G126" s="46">
        <v>1</v>
      </c>
      <c r="H126" s="67"/>
      <c r="I126" s="67"/>
      <c r="J126" s="67"/>
      <c r="K126" s="67"/>
      <c r="L126" s="67"/>
      <c r="M126" s="67"/>
    </row>
    <row r="127" spans="1:19" x14ac:dyDescent="0.25">
      <c r="A127" s="86"/>
      <c r="B127" s="87"/>
      <c r="C127" s="62"/>
      <c r="D127" s="67"/>
      <c r="E127" s="69"/>
      <c r="F127" s="46" t="s">
        <v>94</v>
      </c>
      <c r="G127" s="46">
        <v>0</v>
      </c>
      <c r="H127" s="68"/>
      <c r="I127" s="68"/>
      <c r="J127" s="68"/>
      <c r="K127" s="68"/>
      <c r="L127" s="68"/>
      <c r="M127" s="68"/>
    </row>
    <row r="128" spans="1:19" x14ac:dyDescent="0.25">
      <c r="A128" s="86"/>
      <c r="B128" s="87"/>
      <c r="C128" s="62">
        <v>16</v>
      </c>
      <c r="D128" s="67"/>
      <c r="E128" s="69" t="s">
        <v>84</v>
      </c>
      <c r="F128" s="46" t="s">
        <v>89</v>
      </c>
      <c r="G128" s="46">
        <v>5</v>
      </c>
      <c r="H128" s="66">
        <v>4</v>
      </c>
      <c r="I128" s="66">
        <v>4</v>
      </c>
      <c r="J128" s="66">
        <v>4</v>
      </c>
      <c r="K128" s="66"/>
      <c r="L128" s="66"/>
      <c r="M128" s="66"/>
    </row>
    <row r="129" spans="1:13" x14ac:dyDescent="0.25">
      <c r="A129" s="86"/>
      <c r="B129" s="87"/>
      <c r="C129" s="62"/>
      <c r="D129" s="67"/>
      <c r="E129" s="69"/>
      <c r="F129" s="46" t="s">
        <v>90</v>
      </c>
      <c r="G129" s="46">
        <v>4</v>
      </c>
      <c r="H129" s="67"/>
      <c r="I129" s="67"/>
      <c r="J129" s="67"/>
      <c r="K129" s="67"/>
      <c r="L129" s="67"/>
      <c r="M129" s="67"/>
    </row>
    <row r="130" spans="1:13" x14ac:dyDescent="0.25">
      <c r="A130" s="86"/>
      <c r="B130" s="87"/>
      <c r="C130" s="62"/>
      <c r="D130" s="67"/>
      <c r="E130" s="69"/>
      <c r="F130" s="46" t="s">
        <v>91</v>
      </c>
      <c r="G130" s="46">
        <v>3</v>
      </c>
      <c r="H130" s="67"/>
      <c r="I130" s="67"/>
      <c r="J130" s="67"/>
      <c r="K130" s="67"/>
      <c r="L130" s="67"/>
      <c r="M130" s="67"/>
    </row>
    <row r="131" spans="1:13" x14ac:dyDescent="0.25">
      <c r="A131" s="86"/>
      <c r="B131" s="87"/>
      <c r="C131" s="62"/>
      <c r="D131" s="67"/>
      <c r="E131" s="69"/>
      <c r="F131" s="46" t="s">
        <v>92</v>
      </c>
      <c r="G131" s="46">
        <v>2</v>
      </c>
      <c r="H131" s="67"/>
      <c r="I131" s="67"/>
      <c r="J131" s="67"/>
      <c r="K131" s="67"/>
      <c r="L131" s="67"/>
      <c r="M131" s="67"/>
    </row>
    <row r="132" spans="1:13" x14ac:dyDescent="0.25">
      <c r="A132" s="86"/>
      <c r="B132" s="87"/>
      <c r="C132" s="62"/>
      <c r="D132" s="67"/>
      <c r="E132" s="69"/>
      <c r="F132" s="46" t="s">
        <v>93</v>
      </c>
      <c r="G132" s="46">
        <v>1</v>
      </c>
      <c r="H132" s="67"/>
      <c r="I132" s="67"/>
      <c r="J132" s="67"/>
      <c r="K132" s="67"/>
      <c r="L132" s="67"/>
      <c r="M132" s="67"/>
    </row>
    <row r="133" spans="1:13" x14ac:dyDescent="0.25">
      <c r="A133" s="86"/>
      <c r="B133" s="87"/>
      <c r="C133" s="62"/>
      <c r="D133" s="67"/>
      <c r="E133" s="69"/>
      <c r="F133" s="46" t="s">
        <v>94</v>
      </c>
      <c r="G133" s="46">
        <v>0</v>
      </c>
      <c r="H133" s="68"/>
      <c r="I133" s="68"/>
      <c r="J133" s="68"/>
      <c r="K133" s="68"/>
      <c r="L133" s="68"/>
      <c r="M133" s="68"/>
    </row>
    <row r="134" spans="1:13" x14ac:dyDescent="0.25">
      <c r="A134" s="86"/>
      <c r="B134" s="87"/>
      <c r="C134" s="62">
        <v>17</v>
      </c>
      <c r="D134" s="67"/>
      <c r="E134" s="69" t="s">
        <v>85</v>
      </c>
      <c r="F134" s="46" t="s">
        <v>89</v>
      </c>
      <c r="G134" s="46">
        <v>5</v>
      </c>
      <c r="H134" s="66">
        <v>4</v>
      </c>
      <c r="I134" s="66">
        <v>4</v>
      </c>
      <c r="J134" s="66">
        <v>4</v>
      </c>
      <c r="K134" s="66"/>
      <c r="L134" s="66"/>
      <c r="M134" s="66"/>
    </row>
    <row r="135" spans="1:13" x14ac:dyDescent="0.25">
      <c r="A135" s="86"/>
      <c r="B135" s="87"/>
      <c r="C135" s="62"/>
      <c r="D135" s="67"/>
      <c r="E135" s="69"/>
      <c r="F135" s="46" t="s">
        <v>90</v>
      </c>
      <c r="G135" s="46">
        <v>4</v>
      </c>
      <c r="H135" s="67"/>
      <c r="I135" s="67"/>
      <c r="J135" s="67"/>
      <c r="K135" s="67"/>
      <c r="L135" s="67"/>
      <c r="M135" s="67"/>
    </row>
    <row r="136" spans="1:13" x14ac:dyDescent="0.25">
      <c r="A136" s="86"/>
      <c r="B136" s="87"/>
      <c r="C136" s="62"/>
      <c r="D136" s="67"/>
      <c r="E136" s="69"/>
      <c r="F136" s="46" t="s">
        <v>91</v>
      </c>
      <c r="G136" s="46">
        <v>3</v>
      </c>
      <c r="H136" s="67"/>
      <c r="I136" s="67"/>
      <c r="J136" s="67"/>
      <c r="K136" s="67"/>
      <c r="L136" s="67"/>
      <c r="M136" s="67"/>
    </row>
    <row r="137" spans="1:13" x14ac:dyDescent="0.25">
      <c r="A137" s="86"/>
      <c r="B137" s="87"/>
      <c r="C137" s="62"/>
      <c r="D137" s="67"/>
      <c r="E137" s="69"/>
      <c r="F137" s="46" t="s">
        <v>92</v>
      </c>
      <c r="G137" s="46">
        <v>2</v>
      </c>
      <c r="H137" s="67"/>
      <c r="I137" s="67"/>
      <c r="J137" s="67"/>
      <c r="K137" s="67"/>
      <c r="L137" s="67"/>
      <c r="M137" s="67"/>
    </row>
    <row r="138" spans="1:13" x14ac:dyDescent="0.25">
      <c r="A138" s="86"/>
      <c r="B138" s="87"/>
      <c r="C138" s="62"/>
      <c r="D138" s="67"/>
      <c r="E138" s="69"/>
      <c r="F138" s="46" t="s">
        <v>93</v>
      </c>
      <c r="G138" s="46">
        <v>1</v>
      </c>
      <c r="H138" s="67"/>
      <c r="I138" s="67"/>
      <c r="J138" s="67"/>
      <c r="K138" s="67"/>
      <c r="L138" s="67"/>
      <c r="M138" s="67"/>
    </row>
    <row r="139" spans="1:13" x14ac:dyDescent="0.25">
      <c r="A139" s="86"/>
      <c r="B139" s="87"/>
      <c r="C139" s="62"/>
      <c r="D139" s="67"/>
      <c r="E139" s="69"/>
      <c r="F139" s="46" t="s">
        <v>94</v>
      </c>
      <c r="G139" s="46">
        <v>0</v>
      </c>
      <c r="H139" s="68"/>
      <c r="I139" s="68"/>
      <c r="J139" s="68"/>
      <c r="K139" s="68"/>
      <c r="L139" s="68"/>
      <c r="M139" s="68"/>
    </row>
    <row r="140" spans="1:13" x14ac:dyDescent="0.25">
      <c r="A140" s="86"/>
      <c r="B140" s="87"/>
      <c r="C140" s="62">
        <v>18</v>
      </c>
      <c r="D140" s="67"/>
      <c r="E140" s="69" t="s">
        <v>87</v>
      </c>
      <c r="F140" s="46" t="s">
        <v>89</v>
      </c>
      <c r="G140" s="46">
        <v>5</v>
      </c>
      <c r="H140" s="66">
        <v>4</v>
      </c>
      <c r="I140" s="66">
        <v>4</v>
      </c>
      <c r="J140" s="66">
        <v>4</v>
      </c>
      <c r="K140" s="66"/>
      <c r="L140" s="66"/>
      <c r="M140" s="66"/>
    </row>
    <row r="141" spans="1:13" x14ac:dyDescent="0.25">
      <c r="A141" s="86"/>
      <c r="B141" s="87"/>
      <c r="C141" s="62"/>
      <c r="D141" s="67"/>
      <c r="E141" s="69"/>
      <c r="F141" s="46" t="s">
        <v>90</v>
      </c>
      <c r="G141" s="46">
        <v>4</v>
      </c>
      <c r="H141" s="67"/>
      <c r="I141" s="67"/>
      <c r="J141" s="67"/>
      <c r="K141" s="67"/>
      <c r="L141" s="67"/>
      <c r="M141" s="67"/>
    </row>
    <row r="142" spans="1:13" x14ac:dyDescent="0.25">
      <c r="A142" s="86"/>
      <c r="B142" s="87"/>
      <c r="C142" s="62"/>
      <c r="D142" s="67"/>
      <c r="E142" s="69"/>
      <c r="F142" s="46" t="s">
        <v>91</v>
      </c>
      <c r="G142" s="46">
        <v>3</v>
      </c>
      <c r="H142" s="67"/>
      <c r="I142" s="67"/>
      <c r="J142" s="67"/>
      <c r="K142" s="67"/>
      <c r="L142" s="67"/>
      <c r="M142" s="67"/>
    </row>
    <row r="143" spans="1:13" x14ac:dyDescent="0.25">
      <c r="A143" s="86"/>
      <c r="B143" s="87"/>
      <c r="C143" s="62"/>
      <c r="D143" s="67"/>
      <c r="E143" s="69"/>
      <c r="F143" s="46" t="s">
        <v>92</v>
      </c>
      <c r="G143" s="46">
        <v>2</v>
      </c>
      <c r="H143" s="67"/>
      <c r="I143" s="67"/>
      <c r="J143" s="67"/>
      <c r="K143" s="67"/>
      <c r="L143" s="67"/>
      <c r="M143" s="67"/>
    </row>
    <row r="144" spans="1:13" x14ac:dyDescent="0.25">
      <c r="A144" s="86"/>
      <c r="B144" s="87"/>
      <c r="C144" s="62"/>
      <c r="D144" s="67"/>
      <c r="E144" s="69"/>
      <c r="F144" s="46" t="s">
        <v>93</v>
      </c>
      <c r="G144" s="46">
        <v>1</v>
      </c>
      <c r="H144" s="67"/>
      <c r="I144" s="67"/>
      <c r="J144" s="67"/>
      <c r="K144" s="67"/>
      <c r="L144" s="67"/>
      <c r="M144" s="67"/>
    </row>
    <row r="145" spans="1:13" x14ac:dyDescent="0.25">
      <c r="A145" s="86"/>
      <c r="B145" s="87"/>
      <c r="C145" s="62"/>
      <c r="D145" s="67"/>
      <c r="E145" s="69"/>
      <c r="F145" s="46" t="s">
        <v>94</v>
      </c>
      <c r="G145" s="46">
        <v>0</v>
      </c>
      <c r="H145" s="68"/>
      <c r="I145" s="68"/>
      <c r="J145" s="68"/>
      <c r="K145" s="68"/>
      <c r="L145" s="68"/>
      <c r="M145" s="68"/>
    </row>
    <row r="146" spans="1:13" x14ac:dyDescent="0.25">
      <c r="C146" s="45"/>
      <c r="D146" s="45"/>
      <c r="E146" s="32" t="s">
        <v>60</v>
      </c>
      <c r="F146" s="45"/>
      <c r="G146" s="46">
        <v>100</v>
      </c>
      <c r="H146" s="45">
        <f>SUM(H50:H145)</f>
        <v>78</v>
      </c>
      <c r="I146" s="45">
        <f t="shared" ref="I146:M146" si="1">SUM(I50:I145)</f>
        <v>78</v>
      </c>
      <c r="J146" s="45">
        <f t="shared" si="1"/>
        <v>78</v>
      </c>
      <c r="K146" s="45">
        <f t="shared" si="1"/>
        <v>0</v>
      </c>
      <c r="L146" s="45">
        <f t="shared" si="1"/>
        <v>0</v>
      </c>
      <c r="M146" s="45">
        <f t="shared" si="1"/>
        <v>0</v>
      </c>
    </row>
    <row r="147" spans="1:13" x14ac:dyDescent="0.25">
      <c r="C147" s="45"/>
      <c r="D147" s="45"/>
      <c r="E147" s="32" t="s">
        <v>62</v>
      </c>
      <c r="F147" s="45"/>
      <c r="G147" s="45"/>
      <c r="H147" s="45">
        <f>H146/100</f>
        <v>0.78</v>
      </c>
      <c r="I147" s="45">
        <f t="shared" ref="I147:M147" si="2">I146/100</f>
        <v>0.78</v>
      </c>
      <c r="J147" s="45">
        <f t="shared" si="2"/>
        <v>0.78</v>
      </c>
      <c r="K147" s="45">
        <f t="shared" si="2"/>
        <v>0</v>
      </c>
      <c r="L147" s="45">
        <f t="shared" si="2"/>
        <v>0</v>
      </c>
      <c r="M147" s="45">
        <f t="shared" si="2"/>
        <v>0</v>
      </c>
    </row>
    <row r="148" spans="1:13" x14ac:dyDescent="0.25">
      <c r="C148" s="45"/>
      <c r="D148" s="45"/>
      <c r="E148" s="33" t="s">
        <v>61</v>
      </c>
      <c r="F148" s="45"/>
      <c r="G148" s="45"/>
      <c r="H148" s="45"/>
      <c r="I148" s="45"/>
      <c r="J148" s="45"/>
      <c r="K148" s="45"/>
      <c r="L148" s="45"/>
      <c r="M148" s="45"/>
    </row>
    <row r="149" spans="1:13" x14ac:dyDescent="0.25">
      <c r="E149" s="60" t="s">
        <v>115</v>
      </c>
      <c r="F149" s="61"/>
      <c r="G149" s="61"/>
      <c r="H149" s="61">
        <f t="shared" ref="H149:M149" si="3">(40%*H43)+(60%*H146)</f>
        <v>82.8</v>
      </c>
      <c r="I149" s="61">
        <f t="shared" si="3"/>
        <v>86.8</v>
      </c>
      <c r="J149" s="61">
        <f t="shared" si="3"/>
        <v>86.8</v>
      </c>
      <c r="K149" s="61">
        <f t="shared" si="3"/>
        <v>0</v>
      </c>
      <c r="L149" s="61">
        <f t="shared" si="3"/>
        <v>0</v>
      </c>
      <c r="M149" s="61">
        <f t="shared" si="3"/>
        <v>0</v>
      </c>
    </row>
    <row r="150" spans="1:13" x14ac:dyDescent="0.25">
      <c r="E150" s="53"/>
    </row>
    <row r="151" spans="1:13" x14ac:dyDescent="0.25">
      <c r="E151" s="53"/>
    </row>
    <row r="152" spans="1:13" x14ac:dyDescent="0.25">
      <c r="E152" s="53"/>
    </row>
    <row r="153" spans="1:13" x14ac:dyDescent="0.25">
      <c r="E153" s="63" t="s">
        <v>63</v>
      </c>
      <c r="F153" s="64"/>
      <c r="G153" s="64"/>
      <c r="H153" s="65"/>
    </row>
    <row r="154" spans="1:13" x14ac:dyDescent="0.25">
      <c r="E154" s="77" t="s">
        <v>64</v>
      </c>
      <c r="F154" s="34" t="s">
        <v>65</v>
      </c>
      <c r="G154" s="82">
        <v>5</v>
      </c>
      <c r="H154" s="83"/>
    </row>
    <row r="155" spans="1:13" x14ac:dyDescent="0.25">
      <c r="E155" s="78"/>
      <c r="F155" s="34" t="s">
        <v>66</v>
      </c>
      <c r="G155" s="82">
        <v>4</v>
      </c>
      <c r="H155" s="83"/>
    </row>
    <row r="156" spans="1:13" x14ac:dyDescent="0.25">
      <c r="E156" s="78"/>
      <c r="F156" s="34" t="s">
        <v>67</v>
      </c>
      <c r="G156" s="82">
        <v>3</v>
      </c>
      <c r="H156" s="83"/>
    </row>
    <row r="157" spans="1:13" x14ac:dyDescent="0.25">
      <c r="E157" s="78"/>
      <c r="F157" s="34" t="s">
        <v>68</v>
      </c>
      <c r="G157" s="82">
        <v>2</v>
      </c>
      <c r="H157" s="83"/>
    </row>
    <row r="158" spans="1:13" x14ac:dyDescent="0.25">
      <c r="E158" s="79"/>
      <c r="F158" s="34" t="s">
        <v>69</v>
      </c>
      <c r="G158" s="82">
        <v>1</v>
      </c>
      <c r="H158" s="83"/>
    </row>
    <row r="159" spans="1:13" x14ac:dyDescent="0.25">
      <c r="E159" s="73"/>
      <c r="F159" s="74"/>
      <c r="G159" s="74"/>
      <c r="H159" s="75"/>
    </row>
    <row r="160" spans="1:13" x14ac:dyDescent="0.25">
      <c r="E160" s="77" t="s">
        <v>70</v>
      </c>
      <c r="F160" s="35" t="s">
        <v>65</v>
      </c>
      <c r="G160" s="80" t="s">
        <v>71</v>
      </c>
      <c r="H160" s="81"/>
    </row>
    <row r="161" spans="5:8" x14ac:dyDescent="0.25">
      <c r="E161" s="78"/>
      <c r="F161" s="35" t="s">
        <v>66</v>
      </c>
      <c r="G161" s="82" t="s">
        <v>72</v>
      </c>
      <c r="H161" s="83"/>
    </row>
    <row r="162" spans="5:8" x14ac:dyDescent="0.25">
      <c r="E162" s="78"/>
      <c r="F162" s="35" t="s">
        <v>73</v>
      </c>
      <c r="G162" s="82" t="s">
        <v>74</v>
      </c>
      <c r="H162" s="83"/>
    </row>
    <row r="163" spans="5:8" x14ac:dyDescent="0.25">
      <c r="E163" s="78"/>
      <c r="F163" s="35" t="s">
        <v>68</v>
      </c>
      <c r="G163" s="82" t="s">
        <v>75</v>
      </c>
      <c r="H163" s="83"/>
    </row>
    <row r="164" spans="5:8" x14ac:dyDescent="0.25">
      <c r="E164" s="79"/>
      <c r="F164" s="35" t="s">
        <v>69</v>
      </c>
      <c r="G164" s="82" t="s">
        <v>76</v>
      </c>
      <c r="H164" s="83"/>
    </row>
  </sheetData>
  <mergeCells count="254">
    <mergeCell ref="E159:H159"/>
    <mergeCell ref="E160:E164"/>
    <mergeCell ref="G160:H160"/>
    <mergeCell ref="G161:H161"/>
    <mergeCell ref="G162:H162"/>
    <mergeCell ref="G163:H163"/>
    <mergeCell ref="G164:H164"/>
    <mergeCell ref="E153:H153"/>
    <mergeCell ref="E154:E158"/>
    <mergeCell ref="G154:H154"/>
    <mergeCell ref="G155:H155"/>
    <mergeCell ref="G156:H156"/>
    <mergeCell ref="G157:H157"/>
    <mergeCell ref="G158:H158"/>
    <mergeCell ref="M128:M133"/>
    <mergeCell ref="L134:L139"/>
    <mergeCell ref="M134:M139"/>
    <mergeCell ref="C140:C145"/>
    <mergeCell ref="E140:E145"/>
    <mergeCell ref="H140:H145"/>
    <mergeCell ref="I140:I145"/>
    <mergeCell ref="J140:J145"/>
    <mergeCell ref="K140:K145"/>
    <mergeCell ref="L140:L145"/>
    <mergeCell ref="M140:M145"/>
    <mergeCell ref="C134:C139"/>
    <mergeCell ref="E134:E139"/>
    <mergeCell ref="H134:H139"/>
    <mergeCell ref="I134:I139"/>
    <mergeCell ref="J134:J139"/>
    <mergeCell ref="K134:K139"/>
    <mergeCell ref="L118:L120"/>
    <mergeCell ref="M118:M120"/>
    <mergeCell ref="C122:C127"/>
    <mergeCell ref="D122:D145"/>
    <mergeCell ref="E122:E127"/>
    <mergeCell ref="H122:H127"/>
    <mergeCell ref="I122:I127"/>
    <mergeCell ref="J122:J127"/>
    <mergeCell ref="K122:K127"/>
    <mergeCell ref="L122:L127"/>
    <mergeCell ref="C118:C120"/>
    <mergeCell ref="E118:E120"/>
    <mergeCell ref="H118:H120"/>
    <mergeCell ref="I118:I120"/>
    <mergeCell ref="J118:J120"/>
    <mergeCell ref="K118:K120"/>
    <mergeCell ref="M122:M127"/>
    <mergeCell ref="C128:C133"/>
    <mergeCell ref="E128:E133"/>
    <mergeCell ref="H128:H133"/>
    <mergeCell ref="I128:I133"/>
    <mergeCell ref="J128:J133"/>
    <mergeCell ref="K128:K133"/>
    <mergeCell ref="L128:L133"/>
    <mergeCell ref="L106:L111"/>
    <mergeCell ref="M106:M111"/>
    <mergeCell ref="C112:C117"/>
    <mergeCell ref="E112:E117"/>
    <mergeCell ref="H112:H117"/>
    <mergeCell ref="I112:I117"/>
    <mergeCell ref="J112:J117"/>
    <mergeCell ref="K112:K117"/>
    <mergeCell ref="L112:L117"/>
    <mergeCell ref="M112:M117"/>
    <mergeCell ref="C106:C111"/>
    <mergeCell ref="E106:E111"/>
    <mergeCell ref="H106:H111"/>
    <mergeCell ref="I106:I111"/>
    <mergeCell ref="J106:J111"/>
    <mergeCell ref="K106:K111"/>
    <mergeCell ref="L94:L99"/>
    <mergeCell ref="M94:M99"/>
    <mergeCell ref="C100:C105"/>
    <mergeCell ref="E100:E105"/>
    <mergeCell ref="H100:H105"/>
    <mergeCell ref="I100:I105"/>
    <mergeCell ref="J100:J105"/>
    <mergeCell ref="K100:K105"/>
    <mergeCell ref="L100:L105"/>
    <mergeCell ref="M100:M105"/>
    <mergeCell ref="C94:C99"/>
    <mergeCell ref="E94:E99"/>
    <mergeCell ref="H94:H99"/>
    <mergeCell ref="I94:I99"/>
    <mergeCell ref="J94:J99"/>
    <mergeCell ref="K94:K99"/>
    <mergeCell ref="J76:J81"/>
    <mergeCell ref="K76:K81"/>
    <mergeCell ref="L76:L81"/>
    <mergeCell ref="M76:M81"/>
    <mergeCell ref="L82:L87"/>
    <mergeCell ref="M82:M87"/>
    <mergeCell ref="C88:C93"/>
    <mergeCell ref="E88:E93"/>
    <mergeCell ref="H88:H93"/>
    <mergeCell ref="I88:I93"/>
    <mergeCell ref="J88:J93"/>
    <mergeCell ref="K88:K93"/>
    <mergeCell ref="L88:L93"/>
    <mergeCell ref="M88:M93"/>
    <mergeCell ref="C82:C87"/>
    <mergeCell ref="E82:E87"/>
    <mergeCell ref="H82:H87"/>
    <mergeCell ref="I82:I87"/>
    <mergeCell ref="J82:J87"/>
    <mergeCell ref="K82:K87"/>
    <mergeCell ref="J64:J69"/>
    <mergeCell ref="K64:K69"/>
    <mergeCell ref="L64:L69"/>
    <mergeCell ref="M64:M69"/>
    <mergeCell ref="C70:C75"/>
    <mergeCell ref="E70:E75"/>
    <mergeCell ref="H70:H75"/>
    <mergeCell ref="I70:I75"/>
    <mergeCell ref="J70:J75"/>
    <mergeCell ref="K70:K75"/>
    <mergeCell ref="L70:L75"/>
    <mergeCell ref="M70:M75"/>
    <mergeCell ref="J54:J56"/>
    <mergeCell ref="K54:K56"/>
    <mergeCell ref="L54:L56"/>
    <mergeCell ref="M54:M56"/>
    <mergeCell ref="I58:I63"/>
    <mergeCell ref="J58:J63"/>
    <mergeCell ref="K58:K63"/>
    <mergeCell ref="L58:L63"/>
    <mergeCell ref="M58:M63"/>
    <mergeCell ref="J50:J51"/>
    <mergeCell ref="K50:K51"/>
    <mergeCell ref="L50:L51"/>
    <mergeCell ref="M50:M51"/>
    <mergeCell ref="C52:C53"/>
    <mergeCell ref="E52:E53"/>
    <mergeCell ref="H52:H53"/>
    <mergeCell ref="I52:I53"/>
    <mergeCell ref="J52:J53"/>
    <mergeCell ref="K52:K53"/>
    <mergeCell ref="L52:L53"/>
    <mergeCell ref="M52:M53"/>
    <mergeCell ref="A47:B145"/>
    <mergeCell ref="C50:C51"/>
    <mergeCell ref="D50:D56"/>
    <mergeCell ref="E50:E51"/>
    <mergeCell ref="H50:H51"/>
    <mergeCell ref="I50:I51"/>
    <mergeCell ref="C58:C63"/>
    <mergeCell ref="D58:D120"/>
    <mergeCell ref="E58:E63"/>
    <mergeCell ref="H58:H63"/>
    <mergeCell ref="C54:C56"/>
    <mergeCell ref="E54:E56"/>
    <mergeCell ref="H54:H56"/>
    <mergeCell ref="I54:I56"/>
    <mergeCell ref="C64:C69"/>
    <mergeCell ref="E64:E69"/>
    <mergeCell ref="H64:H69"/>
    <mergeCell ref="I64:I69"/>
    <mergeCell ref="C76:C81"/>
    <mergeCell ref="E76:E81"/>
    <mergeCell ref="H76:H81"/>
    <mergeCell ref="I76:I81"/>
    <mergeCell ref="A43:G43"/>
    <mergeCell ref="A44:G44"/>
    <mergeCell ref="A45:M46"/>
    <mergeCell ref="J37:J39"/>
    <mergeCell ref="K37:K39"/>
    <mergeCell ref="L37:L39"/>
    <mergeCell ref="M37:M39"/>
    <mergeCell ref="B40:B42"/>
    <mergeCell ref="C40:C42"/>
    <mergeCell ref="D40:D42"/>
    <mergeCell ref="H40:H42"/>
    <mergeCell ref="I40:I42"/>
    <mergeCell ref="J40:J42"/>
    <mergeCell ref="A37:A42"/>
    <mergeCell ref="B37:B39"/>
    <mergeCell ref="C37:C39"/>
    <mergeCell ref="D37:D39"/>
    <mergeCell ref="H37:H39"/>
    <mergeCell ref="I37:I39"/>
    <mergeCell ref="K40:K42"/>
    <mergeCell ref="L40:L42"/>
    <mergeCell ref="M40:M42"/>
    <mergeCell ref="B34:B36"/>
    <mergeCell ref="C34:C36"/>
    <mergeCell ref="D34:D36"/>
    <mergeCell ref="H34:H36"/>
    <mergeCell ref="I34:I36"/>
    <mergeCell ref="J34:J36"/>
    <mergeCell ref="K34:K36"/>
    <mergeCell ref="L34:L36"/>
    <mergeCell ref="M34:M36"/>
    <mergeCell ref="K26:K28"/>
    <mergeCell ref="L26:L28"/>
    <mergeCell ref="M26:M28"/>
    <mergeCell ref="A30:A32"/>
    <mergeCell ref="B30:B32"/>
    <mergeCell ref="C30:C32"/>
    <mergeCell ref="D30:D32"/>
    <mergeCell ref="H30:H32"/>
    <mergeCell ref="I30:I32"/>
    <mergeCell ref="J30:J32"/>
    <mergeCell ref="K30:K32"/>
    <mergeCell ref="L30:L32"/>
    <mergeCell ref="M30:M32"/>
    <mergeCell ref="A25:B25"/>
    <mergeCell ref="A26:A28"/>
    <mergeCell ref="B26:B28"/>
    <mergeCell ref="C26:C28"/>
    <mergeCell ref="D26:D28"/>
    <mergeCell ref="H26:H28"/>
    <mergeCell ref="H22:H24"/>
    <mergeCell ref="I22:I24"/>
    <mergeCell ref="J22:J24"/>
    <mergeCell ref="I26:I28"/>
    <mergeCell ref="J26:J28"/>
    <mergeCell ref="K22:K24"/>
    <mergeCell ref="L22:L24"/>
    <mergeCell ref="M22:M24"/>
    <mergeCell ref="H19:H21"/>
    <mergeCell ref="I19:I21"/>
    <mergeCell ref="J19:J21"/>
    <mergeCell ref="K19:K21"/>
    <mergeCell ref="L19:L21"/>
    <mergeCell ref="M19:M21"/>
    <mergeCell ref="A16:B16"/>
    <mergeCell ref="A18:B18"/>
    <mergeCell ref="A19:A24"/>
    <mergeCell ref="B19:B21"/>
    <mergeCell ref="C19:C21"/>
    <mergeCell ref="D19:D21"/>
    <mergeCell ref="B22:B24"/>
    <mergeCell ref="C22:C24"/>
    <mergeCell ref="D22:D24"/>
    <mergeCell ref="A14:M14"/>
    <mergeCell ref="A15:B15"/>
    <mergeCell ref="D15:E15"/>
    <mergeCell ref="B9:D9"/>
    <mergeCell ref="E9:M9"/>
    <mergeCell ref="B10:D10"/>
    <mergeCell ref="E10:M10"/>
    <mergeCell ref="B11:D11"/>
    <mergeCell ref="E11:M11"/>
    <mergeCell ref="A1:M4"/>
    <mergeCell ref="A5:M5"/>
    <mergeCell ref="A6:M6"/>
    <mergeCell ref="A7:M7"/>
    <mergeCell ref="B8:D8"/>
    <mergeCell ref="E8:M8"/>
    <mergeCell ref="B12:D12"/>
    <mergeCell ref="E12:M12"/>
    <mergeCell ref="B13:D13"/>
    <mergeCell ref="E13:M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FED8-9758-4693-9349-C5746356488E}">
  <dimension ref="A1:S164"/>
  <sheetViews>
    <sheetView topLeftCell="A4" workbookViewId="0">
      <selection activeCell="L25" sqref="L25"/>
    </sheetView>
  </sheetViews>
  <sheetFormatPr defaultRowHeight="15" x14ac:dyDescent="0.25"/>
  <cols>
    <col min="4" max="4" width="27" customWidth="1"/>
    <col min="5" max="5" width="34.7109375" customWidth="1"/>
    <col min="6" max="6" width="24.85546875" bestFit="1" customWidth="1"/>
    <col min="9" max="9" width="10.85546875" customWidth="1"/>
  </cols>
  <sheetData>
    <row r="1" spans="1:14" s="1" customFormat="1" ht="14.25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4" s="1" customFormat="1" ht="14.25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s="1" customFormat="1" ht="14.25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4" s="1" customFormat="1" ht="14.25" x14ac:dyDescent="0.2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4" s="1" customFormat="1" x14ac:dyDescent="0.25">
      <c r="A5" s="115" t="s">
        <v>0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</row>
    <row r="6" spans="1:14" s="1" customFormat="1" x14ac:dyDescent="0.25">
      <c r="A6" s="115" t="s">
        <v>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14" s="1" customFormat="1" ht="14.25" x14ac:dyDescent="0.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4" s="1" customFormat="1" ht="15" customHeight="1" x14ac:dyDescent="0.2">
      <c r="A8" s="38"/>
      <c r="B8" s="116" t="s">
        <v>2</v>
      </c>
      <c r="C8" s="116"/>
      <c r="D8" s="116"/>
      <c r="E8" s="116" t="s">
        <v>133</v>
      </c>
      <c r="F8" s="116"/>
      <c r="G8" s="116"/>
      <c r="H8" s="116"/>
      <c r="I8" s="116"/>
      <c r="J8" s="116"/>
      <c r="K8" s="116"/>
      <c r="L8" s="116"/>
      <c r="M8" s="116"/>
    </row>
    <row r="9" spans="1:14" s="1" customFormat="1" ht="15" customHeight="1" x14ac:dyDescent="0.2">
      <c r="A9" s="38"/>
      <c r="B9" s="116" t="s">
        <v>3</v>
      </c>
      <c r="C9" s="116"/>
      <c r="D9" s="116"/>
      <c r="E9" s="116" t="s">
        <v>117</v>
      </c>
      <c r="F9" s="116"/>
      <c r="G9" s="116"/>
      <c r="H9" s="116"/>
      <c r="I9" s="116"/>
      <c r="J9" s="116"/>
      <c r="K9" s="116"/>
      <c r="L9" s="116"/>
      <c r="M9" s="116"/>
    </row>
    <row r="10" spans="1:14" s="1" customFormat="1" ht="15" customHeight="1" x14ac:dyDescent="0.2">
      <c r="A10" s="38"/>
      <c r="B10" s="116" t="s">
        <v>4</v>
      </c>
      <c r="C10" s="116"/>
      <c r="D10" s="116"/>
      <c r="E10" s="116" t="s">
        <v>134</v>
      </c>
      <c r="F10" s="116"/>
      <c r="G10" s="116"/>
      <c r="H10" s="116"/>
      <c r="I10" s="116"/>
      <c r="J10" s="116"/>
      <c r="K10" s="116"/>
      <c r="L10" s="116"/>
      <c r="M10" s="116"/>
    </row>
    <row r="11" spans="1:14" s="1" customFormat="1" ht="15" customHeight="1" x14ac:dyDescent="0.2">
      <c r="A11" s="38"/>
      <c r="B11" s="116" t="s">
        <v>5</v>
      </c>
      <c r="C11" s="116"/>
      <c r="D11" s="116"/>
      <c r="E11" s="116" t="s">
        <v>119</v>
      </c>
      <c r="F11" s="116"/>
      <c r="G11" s="116"/>
      <c r="H11" s="116"/>
      <c r="I11" s="116"/>
      <c r="J11" s="116"/>
      <c r="K11" s="116"/>
      <c r="L11" s="116"/>
      <c r="M11" s="116"/>
    </row>
    <row r="12" spans="1:14" s="1" customFormat="1" ht="15" customHeight="1" x14ac:dyDescent="0.2">
      <c r="A12" s="38"/>
      <c r="B12" s="116" t="s">
        <v>6</v>
      </c>
      <c r="C12" s="116"/>
      <c r="D12" s="116"/>
      <c r="E12" s="116" t="s">
        <v>120</v>
      </c>
      <c r="F12" s="116"/>
      <c r="G12" s="116"/>
      <c r="H12" s="116"/>
      <c r="I12" s="116"/>
      <c r="J12" s="116"/>
      <c r="K12" s="116"/>
      <c r="L12" s="116"/>
      <c r="M12" s="116"/>
    </row>
    <row r="13" spans="1:14" s="1" customFormat="1" ht="15" customHeight="1" x14ac:dyDescent="0.2">
      <c r="A13" s="38"/>
      <c r="B13" s="116" t="s">
        <v>7</v>
      </c>
      <c r="C13" s="116"/>
      <c r="D13" s="116"/>
      <c r="E13" s="116" t="s">
        <v>8</v>
      </c>
      <c r="F13" s="116"/>
      <c r="G13" s="116"/>
      <c r="H13" s="116"/>
      <c r="I13" s="116"/>
      <c r="J13" s="116"/>
      <c r="K13" s="116"/>
      <c r="L13" s="116"/>
      <c r="M13" s="116"/>
    </row>
    <row r="14" spans="1:14" s="1" customFormat="1" ht="14.25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4" s="1" customFormat="1" x14ac:dyDescent="0.25">
      <c r="A15" s="117" t="s">
        <v>9</v>
      </c>
      <c r="B15" s="118"/>
      <c r="C15" s="40" t="s">
        <v>10</v>
      </c>
      <c r="D15" s="113" t="s">
        <v>11</v>
      </c>
      <c r="E15" s="113"/>
      <c r="F15" s="39" t="s">
        <v>12</v>
      </c>
      <c r="G15" s="2" t="s">
        <v>13</v>
      </c>
      <c r="H15" s="41" t="s">
        <v>14</v>
      </c>
      <c r="I15" s="41" t="s">
        <v>15</v>
      </c>
      <c r="J15" s="41" t="s">
        <v>16</v>
      </c>
      <c r="K15" s="41" t="s">
        <v>17</v>
      </c>
      <c r="L15" s="41" t="s">
        <v>18</v>
      </c>
      <c r="M15" s="41" t="s">
        <v>19</v>
      </c>
      <c r="N15" s="3"/>
    </row>
    <row r="16" spans="1:14" s="1" customFormat="1" x14ac:dyDescent="0.25">
      <c r="A16" s="113" t="s">
        <v>20</v>
      </c>
      <c r="B16" s="113"/>
      <c r="C16" s="39">
        <v>100</v>
      </c>
      <c r="D16" s="4" t="s">
        <v>21</v>
      </c>
      <c r="E16" s="5"/>
      <c r="F16" s="5"/>
      <c r="G16" s="5"/>
      <c r="H16" s="5"/>
      <c r="I16" s="5"/>
      <c r="J16" s="5"/>
      <c r="K16" s="5"/>
      <c r="L16" s="5"/>
      <c r="M16" s="6"/>
      <c r="N16" s="3"/>
    </row>
    <row r="17" spans="1:14" s="1" customFormat="1" x14ac:dyDescent="0.25">
      <c r="A17" s="41">
        <v>1</v>
      </c>
      <c r="B17" s="41"/>
      <c r="C17" s="39">
        <v>50</v>
      </c>
      <c r="D17" s="4" t="s">
        <v>22</v>
      </c>
      <c r="E17" s="5"/>
      <c r="F17" s="5"/>
      <c r="G17" s="5"/>
      <c r="H17" s="5"/>
      <c r="I17" s="5"/>
      <c r="J17" s="5"/>
      <c r="K17" s="5"/>
      <c r="L17" s="5"/>
      <c r="M17" s="6"/>
      <c r="N17" s="3"/>
    </row>
    <row r="18" spans="1:14" s="1" customFormat="1" ht="15" customHeight="1" x14ac:dyDescent="0.2">
      <c r="A18" s="95" t="s">
        <v>23</v>
      </c>
      <c r="B18" s="95"/>
      <c r="C18" s="42"/>
      <c r="D18" s="43" t="s">
        <v>24</v>
      </c>
      <c r="E18" s="7"/>
      <c r="F18" s="7"/>
      <c r="G18" s="37"/>
      <c r="H18" s="38"/>
      <c r="I18" s="38"/>
      <c r="J18" s="38"/>
      <c r="K18" s="38"/>
      <c r="L18" s="38"/>
      <c r="M18" s="38"/>
      <c r="N18" s="3"/>
    </row>
    <row r="19" spans="1:14" s="1" customFormat="1" ht="15" customHeight="1" x14ac:dyDescent="0.2">
      <c r="A19" s="96"/>
      <c r="B19" s="96">
        <v>1</v>
      </c>
      <c r="C19" s="96">
        <v>20</v>
      </c>
      <c r="D19" s="104" t="s">
        <v>25</v>
      </c>
      <c r="E19" s="7" t="s">
        <v>26</v>
      </c>
      <c r="F19" s="8" t="s">
        <v>27</v>
      </c>
      <c r="G19" s="9">
        <v>20</v>
      </c>
      <c r="H19" s="92">
        <v>10</v>
      </c>
      <c r="I19" s="92">
        <v>20</v>
      </c>
      <c r="J19" s="92">
        <v>20</v>
      </c>
      <c r="K19" s="92"/>
      <c r="L19" s="92"/>
      <c r="M19" s="92"/>
      <c r="N19" s="3"/>
    </row>
    <row r="20" spans="1:14" s="1" customFormat="1" ht="15" customHeight="1" x14ac:dyDescent="0.2">
      <c r="A20" s="97"/>
      <c r="B20" s="97"/>
      <c r="C20" s="97"/>
      <c r="D20" s="104"/>
      <c r="E20" s="7" t="s">
        <v>28</v>
      </c>
      <c r="F20" s="8"/>
      <c r="G20" s="9">
        <v>10</v>
      </c>
      <c r="H20" s="93"/>
      <c r="I20" s="93"/>
      <c r="J20" s="93"/>
      <c r="K20" s="93"/>
      <c r="L20" s="93"/>
      <c r="M20" s="93"/>
      <c r="N20" s="3"/>
    </row>
    <row r="21" spans="1:14" s="1" customFormat="1" ht="15" customHeight="1" x14ac:dyDescent="0.2">
      <c r="A21" s="97"/>
      <c r="B21" s="102"/>
      <c r="C21" s="102"/>
      <c r="D21" s="104"/>
      <c r="E21" s="7" t="s">
        <v>29</v>
      </c>
      <c r="F21" s="8"/>
      <c r="G21" s="9">
        <v>0</v>
      </c>
      <c r="H21" s="94"/>
      <c r="I21" s="94"/>
      <c r="J21" s="94"/>
      <c r="K21" s="94"/>
      <c r="L21" s="94"/>
      <c r="M21" s="94"/>
      <c r="N21" s="3"/>
    </row>
    <row r="22" spans="1:14" s="1" customFormat="1" ht="15" customHeight="1" x14ac:dyDescent="0.2">
      <c r="A22" s="97"/>
      <c r="B22" s="96">
        <v>2</v>
      </c>
      <c r="C22" s="96">
        <v>20</v>
      </c>
      <c r="D22" s="104" t="s">
        <v>30</v>
      </c>
      <c r="E22" s="7" t="s">
        <v>31</v>
      </c>
      <c r="F22" s="8" t="s">
        <v>27</v>
      </c>
      <c r="G22" s="9">
        <v>20</v>
      </c>
      <c r="H22" s="92">
        <v>20</v>
      </c>
      <c r="I22" s="92">
        <v>20</v>
      </c>
      <c r="J22" s="92">
        <v>20</v>
      </c>
      <c r="K22" s="92"/>
      <c r="L22" s="92"/>
      <c r="M22" s="92"/>
      <c r="N22" s="3"/>
    </row>
    <row r="23" spans="1:14" s="1" customFormat="1" ht="15" customHeight="1" x14ac:dyDescent="0.2">
      <c r="A23" s="97"/>
      <c r="B23" s="97"/>
      <c r="C23" s="97"/>
      <c r="D23" s="104"/>
      <c r="E23" s="7" t="s">
        <v>32</v>
      </c>
      <c r="F23" s="8"/>
      <c r="G23" s="9">
        <v>10</v>
      </c>
      <c r="H23" s="93"/>
      <c r="I23" s="93"/>
      <c r="J23" s="93"/>
      <c r="K23" s="93"/>
      <c r="L23" s="93"/>
      <c r="M23" s="93"/>
      <c r="N23" s="3"/>
    </row>
    <row r="24" spans="1:14" s="1" customFormat="1" ht="15" customHeight="1" x14ac:dyDescent="0.2">
      <c r="A24" s="102"/>
      <c r="B24" s="102"/>
      <c r="C24" s="102"/>
      <c r="D24" s="104"/>
      <c r="E24" s="7" t="s">
        <v>33</v>
      </c>
      <c r="F24" s="10"/>
      <c r="G24" s="11">
        <v>0</v>
      </c>
      <c r="H24" s="94"/>
      <c r="I24" s="94"/>
      <c r="J24" s="94"/>
      <c r="K24" s="94"/>
      <c r="L24" s="94"/>
      <c r="M24" s="94"/>
      <c r="N24" s="3"/>
    </row>
    <row r="25" spans="1:14" s="1" customFormat="1" ht="15" customHeight="1" x14ac:dyDescent="0.2">
      <c r="A25" s="109" t="s">
        <v>34</v>
      </c>
      <c r="B25" s="110"/>
      <c r="C25" s="12"/>
      <c r="D25" s="13" t="s">
        <v>35</v>
      </c>
      <c r="E25" s="7"/>
      <c r="F25" s="7"/>
      <c r="G25" s="37"/>
      <c r="H25" s="37"/>
      <c r="I25" s="37"/>
      <c r="J25" s="37"/>
      <c r="K25" s="37"/>
      <c r="L25" s="37"/>
      <c r="M25" s="37"/>
      <c r="N25" s="3"/>
    </row>
    <row r="26" spans="1:14" s="1" customFormat="1" ht="15" customHeight="1" x14ac:dyDescent="0.2">
      <c r="A26" s="96"/>
      <c r="B26" s="97">
        <v>3</v>
      </c>
      <c r="C26" s="96">
        <v>10</v>
      </c>
      <c r="D26" s="111" t="s">
        <v>36</v>
      </c>
      <c r="E26" s="14" t="s">
        <v>37</v>
      </c>
      <c r="F26" s="14" t="s">
        <v>27</v>
      </c>
      <c r="G26" s="37">
        <v>10</v>
      </c>
      <c r="H26" s="92">
        <v>10</v>
      </c>
      <c r="I26" s="92">
        <v>10</v>
      </c>
      <c r="J26" s="92">
        <v>10</v>
      </c>
      <c r="K26" s="92"/>
      <c r="L26" s="92"/>
      <c r="M26" s="92"/>
      <c r="N26" s="3"/>
    </row>
    <row r="27" spans="1:14" s="1" customFormat="1" ht="15" customHeight="1" x14ac:dyDescent="0.2">
      <c r="A27" s="97"/>
      <c r="B27" s="97"/>
      <c r="C27" s="97"/>
      <c r="D27" s="111"/>
      <c r="E27" s="14" t="s">
        <v>38</v>
      </c>
      <c r="F27" s="14"/>
      <c r="G27" s="37">
        <v>5</v>
      </c>
      <c r="H27" s="93"/>
      <c r="I27" s="93"/>
      <c r="J27" s="93"/>
      <c r="K27" s="93"/>
      <c r="L27" s="93"/>
      <c r="M27" s="93"/>
      <c r="N27" s="3"/>
    </row>
    <row r="28" spans="1:14" s="1" customFormat="1" ht="15" customHeight="1" x14ac:dyDescent="0.2">
      <c r="A28" s="97"/>
      <c r="B28" s="102"/>
      <c r="C28" s="102"/>
      <c r="D28" s="112"/>
      <c r="E28" s="14" t="s">
        <v>39</v>
      </c>
      <c r="F28" s="14"/>
      <c r="G28" s="37">
        <v>0</v>
      </c>
      <c r="H28" s="94"/>
      <c r="I28" s="94"/>
      <c r="J28" s="94"/>
      <c r="K28" s="94"/>
      <c r="L28" s="94"/>
      <c r="M28" s="94"/>
      <c r="N28" s="3"/>
    </row>
    <row r="29" spans="1:14" s="1" customFormat="1" x14ac:dyDescent="0.25">
      <c r="A29" s="15">
        <v>2</v>
      </c>
      <c r="B29" s="16"/>
      <c r="C29" s="17">
        <v>10</v>
      </c>
      <c r="D29" s="18" t="s">
        <v>40</v>
      </c>
      <c r="E29" s="19"/>
      <c r="F29" s="19"/>
      <c r="G29" s="20"/>
      <c r="H29" s="21"/>
      <c r="I29" s="21"/>
      <c r="J29" s="21"/>
      <c r="K29" s="21"/>
      <c r="L29" s="21"/>
      <c r="M29" s="40"/>
      <c r="N29" s="3"/>
    </row>
    <row r="30" spans="1:14" s="1" customFormat="1" ht="14.25" customHeight="1" x14ac:dyDescent="0.2">
      <c r="A30" s="105"/>
      <c r="B30" s="95">
        <v>4</v>
      </c>
      <c r="C30" s="96">
        <v>10</v>
      </c>
      <c r="D30" s="106" t="s">
        <v>41</v>
      </c>
      <c r="E30" s="22" t="s">
        <v>42</v>
      </c>
      <c r="F30" s="22" t="s">
        <v>43</v>
      </c>
      <c r="G30" s="37">
        <v>10</v>
      </c>
      <c r="H30" s="92">
        <v>10</v>
      </c>
      <c r="I30" s="92">
        <v>10</v>
      </c>
      <c r="J30" s="92">
        <v>10</v>
      </c>
      <c r="K30" s="92"/>
      <c r="L30" s="92"/>
      <c r="M30" s="92"/>
      <c r="N30" s="3"/>
    </row>
    <row r="31" spans="1:14" s="1" customFormat="1" ht="14.25" x14ac:dyDescent="0.2">
      <c r="A31" s="105"/>
      <c r="B31" s="95"/>
      <c r="C31" s="97"/>
      <c r="D31" s="107"/>
      <c r="E31" s="22" t="s">
        <v>44</v>
      </c>
      <c r="F31" s="22"/>
      <c r="G31" s="37">
        <v>5</v>
      </c>
      <c r="H31" s="93"/>
      <c r="I31" s="93"/>
      <c r="J31" s="93"/>
      <c r="K31" s="93"/>
      <c r="L31" s="93"/>
      <c r="M31" s="93"/>
      <c r="N31" s="3"/>
    </row>
    <row r="32" spans="1:14" s="1" customFormat="1" ht="14.25" x14ac:dyDescent="0.2">
      <c r="A32" s="105"/>
      <c r="B32" s="95"/>
      <c r="C32" s="102"/>
      <c r="D32" s="108"/>
      <c r="E32" s="22" t="s">
        <v>45</v>
      </c>
      <c r="F32" s="22"/>
      <c r="G32" s="37">
        <v>0</v>
      </c>
      <c r="H32" s="94"/>
      <c r="I32" s="94"/>
      <c r="J32" s="94"/>
      <c r="K32" s="94"/>
      <c r="L32" s="94"/>
      <c r="M32" s="94"/>
      <c r="N32" s="3"/>
    </row>
    <row r="33" spans="1:14" s="1" customFormat="1" x14ac:dyDescent="0.25">
      <c r="A33" s="16">
        <v>3</v>
      </c>
      <c r="B33" s="16"/>
      <c r="C33" s="17">
        <v>40</v>
      </c>
      <c r="D33" s="18" t="s">
        <v>46</v>
      </c>
      <c r="E33" s="23"/>
      <c r="F33" s="23"/>
      <c r="G33" s="24"/>
      <c r="H33" s="25"/>
      <c r="I33" s="25"/>
      <c r="J33" s="25"/>
      <c r="K33" s="25"/>
      <c r="L33" s="25"/>
      <c r="M33" s="26"/>
      <c r="N33" s="3"/>
    </row>
    <row r="34" spans="1:14" s="1" customFormat="1" ht="14.25" x14ac:dyDescent="0.2">
      <c r="A34" s="44"/>
      <c r="B34" s="95">
        <v>6</v>
      </c>
      <c r="C34" s="96">
        <v>20</v>
      </c>
      <c r="D34" s="104" t="s">
        <v>47</v>
      </c>
      <c r="E34" s="7" t="s">
        <v>48</v>
      </c>
      <c r="F34" s="7" t="s">
        <v>49</v>
      </c>
      <c r="G34" s="37">
        <v>20</v>
      </c>
      <c r="H34" s="92">
        <v>20</v>
      </c>
      <c r="I34" s="92">
        <v>20</v>
      </c>
      <c r="J34" s="92">
        <v>20</v>
      </c>
      <c r="K34" s="92"/>
      <c r="L34" s="92"/>
      <c r="M34" s="92"/>
      <c r="N34" s="3"/>
    </row>
    <row r="35" spans="1:14" s="1" customFormat="1" ht="14.25" x14ac:dyDescent="0.2">
      <c r="A35" s="27"/>
      <c r="B35" s="95"/>
      <c r="C35" s="97"/>
      <c r="D35" s="104"/>
      <c r="E35" s="7" t="s">
        <v>50</v>
      </c>
      <c r="F35" s="7"/>
      <c r="G35" s="37">
        <v>10</v>
      </c>
      <c r="H35" s="93"/>
      <c r="I35" s="93"/>
      <c r="J35" s="93"/>
      <c r="K35" s="93"/>
      <c r="L35" s="93"/>
      <c r="M35" s="93"/>
      <c r="N35" s="3"/>
    </row>
    <row r="36" spans="1:14" s="1" customFormat="1" x14ac:dyDescent="0.25">
      <c r="A36" s="16"/>
      <c r="B36" s="95"/>
      <c r="C36" s="102"/>
      <c r="D36" s="104"/>
      <c r="E36" s="7" t="s">
        <v>51</v>
      </c>
      <c r="F36" s="7"/>
      <c r="G36" s="37">
        <v>0</v>
      </c>
      <c r="H36" s="94"/>
      <c r="I36" s="94"/>
      <c r="J36" s="94"/>
      <c r="K36" s="94"/>
      <c r="L36" s="94"/>
      <c r="M36" s="94"/>
      <c r="N36" s="3"/>
    </row>
    <row r="37" spans="1:14" s="1" customFormat="1" ht="14.25" x14ac:dyDescent="0.2">
      <c r="A37" s="100"/>
      <c r="B37" s="95">
        <v>7</v>
      </c>
      <c r="C37" s="96">
        <v>10</v>
      </c>
      <c r="D37" s="98" t="s">
        <v>52</v>
      </c>
      <c r="E37" s="7" t="s">
        <v>53</v>
      </c>
      <c r="F37" s="7"/>
      <c r="G37" s="37">
        <v>10</v>
      </c>
      <c r="H37" s="92">
        <v>10</v>
      </c>
      <c r="I37" s="92">
        <v>10</v>
      </c>
      <c r="J37" s="92">
        <v>10</v>
      </c>
      <c r="K37" s="92"/>
      <c r="L37" s="92"/>
      <c r="M37" s="92"/>
      <c r="N37" s="3"/>
    </row>
    <row r="38" spans="1:14" s="1" customFormat="1" ht="14.25" x14ac:dyDescent="0.2">
      <c r="A38" s="101"/>
      <c r="B38" s="95"/>
      <c r="C38" s="97"/>
      <c r="D38" s="99"/>
      <c r="E38" s="28" t="s">
        <v>54</v>
      </c>
      <c r="F38" s="28"/>
      <c r="G38" s="37">
        <v>5</v>
      </c>
      <c r="H38" s="93"/>
      <c r="I38" s="93"/>
      <c r="J38" s="93"/>
      <c r="K38" s="93"/>
      <c r="L38" s="93"/>
      <c r="M38" s="93"/>
      <c r="N38" s="3"/>
    </row>
    <row r="39" spans="1:14" s="1" customFormat="1" ht="14.25" x14ac:dyDescent="0.2">
      <c r="A39" s="101"/>
      <c r="B39" s="95"/>
      <c r="C39" s="102"/>
      <c r="D39" s="103"/>
      <c r="E39" s="28" t="s">
        <v>55</v>
      </c>
      <c r="F39" s="28"/>
      <c r="G39" s="37">
        <v>0</v>
      </c>
      <c r="H39" s="94"/>
      <c r="I39" s="94"/>
      <c r="J39" s="94"/>
      <c r="K39" s="94"/>
      <c r="L39" s="94"/>
      <c r="M39" s="94"/>
      <c r="N39" s="3"/>
    </row>
    <row r="40" spans="1:14" s="1" customFormat="1" ht="14.25" x14ac:dyDescent="0.2">
      <c r="A40" s="101"/>
      <c r="B40" s="95">
        <v>8</v>
      </c>
      <c r="C40" s="96">
        <v>10</v>
      </c>
      <c r="D40" s="98" t="s">
        <v>56</v>
      </c>
      <c r="E40" s="28" t="s">
        <v>57</v>
      </c>
      <c r="F40" s="28"/>
      <c r="G40" s="37">
        <v>10</v>
      </c>
      <c r="H40" s="92">
        <v>10</v>
      </c>
      <c r="I40" s="92">
        <v>10</v>
      </c>
      <c r="J40" s="92">
        <v>10</v>
      </c>
      <c r="K40" s="92"/>
      <c r="L40" s="92"/>
      <c r="M40" s="92"/>
      <c r="N40" s="3"/>
    </row>
    <row r="41" spans="1:14" s="1" customFormat="1" ht="14.25" x14ac:dyDescent="0.2">
      <c r="A41" s="101"/>
      <c r="B41" s="95"/>
      <c r="C41" s="97"/>
      <c r="D41" s="99"/>
      <c r="E41" s="28" t="s">
        <v>58</v>
      </c>
      <c r="F41" s="28"/>
      <c r="G41" s="37">
        <v>5</v>
      </c>
      <c r="H41" s="93"/>
      <c r="I41" s="93"/>
      <c r="J41" s="93"/>
      <c r="K41" s="93"/>
      <c r="L41" s="93"/>
      <c r="M41" s="93"/>
      <c r="N41" s="3"/>
    </row>
    <row r="42" spans="1:14" s="1" customFormat="1" ht="14.25" x14ac:dyDescent="0.2">
      <c r="A42" s="101"/>
      <c r="B42" s="96"/>
      <c r="C42" s="97"/>
      <c r="D42" s="99"/>
      <c r="E42" s="28" t="s">
        <v>59</v>
      </c>
      <c r="F42" s="28"/>
      <c r="G42" s="37">
        <v>0</v>
      </c>
      <c r="H42" s="94"/>
      <c r="I42" s="94"/>
      <c r="J42" s="94"/>
      <c r="K42" s="94"/>
      <c r="L42" s="94"/>
      <c r="M42" s="94"/>
      <c r="N42" s="3"/>
    </row>
    <row r="43" spans="1:14" s="1" customFormat="1" ht="15" customHeight="1" x14ac:dyDescent="0.25">
      <c r="A43" s="88" t="s">
        <v>60</v>
      </c>
      <c r="B43" s="89"/>
      <c r="C43" s="89"/>
      <c r="D43" s="89"/>
      <c r="E43" s="89"/>
      <c r="F43" s="89"/>
      <c r="G43" s="89"/>
      <c r="H43" s="41">
        <f t="shared" ref="H43:M43" si="0">SUM(H19:H42)</f>
        <v>90</v>
      </c>
      <c r="I43" s="41">
        <f t="shared" si="0"/>
        <v>100</v>
      </c>
      <c r="J43" s="41">
        <f t="shared" si="0"/>
        <v>100</v>
      </c>
      <c r="K43" s="41">
        <f t="shared" si="0"/>
        <v>0</v>
      </c>
      <c r="L43" s="41">
        <f t="shared" si="0"/>
        <v>0</v>
      </c>
      <c r="M43" s="41">
        <f t="shared" si="0"/>
        <v>0</v>
      </c>
    </row>
    <row r="44" spans="1:14" s="1" customFormat="1" ht="15" customHeight="1" x14ac:dyDescent="0.25">
      <c r="A44" s="88" t="s">
        <v>61</v>
      </c>
      <c r="B44" s="89"/>
      <c r="C44" s="89"/>
      <c r="D44" s="89"/>
      <c r="E44" s="89"/>
      <c r="F44" s="89"/>
      <c r="G44" s="89"/>
      <c r="H44" s="41"/>
      <c r="I44" s="41"/>
      <c r="J44" s="41"/>
      <c r="K44" s="41"/>
      <c r="L44" s="41"/>
      <c r="M44" s="41"/>
    </row>
    <row r="45" spans="1:14" s="1" customFormat="1" ht="15" customHeight="1" x14ac:dyDescent="0.2">
      <c r="A45" s="90" t="s">
        <v>121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4" s="1" customFormat="1" ht="15" customHeight="1" x14ac:dyDescent="0.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14" s="1" customFormat="1" ht="13.9" customHeight="1" x14ac:dyDescent="0.2">
      <c r="A47" s="84" t="s">
        <v>96</v>
      </c>
      <c r="B47" s="85"/>
      <c r="C47" s="59"/>
      <c r="E47" s="29"/>
      <c r="F47" s="30"/>
      <c r="G47" s="31"/>
      <c r="H47" s="36"/>
      <c r="I47" s="36"/>
      <c r="J47" s="36"/>
      <c r="K47" s="36"/>
      <c r="L47" s="36"/>
      <c r="M47" s="36"/>
    </row>
    <row r="48" spans="1:14" s="1" customFormat="1" ht="14.45" customHeight="1" x14ac:dyDescent="0.2">
      <c r="A48" s="86"/>
      <c r="B48" s="87"/>
      <c r="C48" s="59"/>
      <c r="E48" s="29"/>
      <c r="F48" s="30"/>
      <c r="G48" s="31"/>
      <c r="H48" s="36"/>
      <c r="I48" s="36"/>
      <c r="J48" s="36"/>
      <c r="K48" s="36"/>
      <c r="L48" s="36"/>
      <c r="M48" s="36"/>
    </row>
    <row r="49" spans="1:13" s="1" customFormat="1" ht="15" customHeight="1" x14ac:dyDescent="0.2">
      <c r="A49" s="86"/>
      <c r="B49" s="87"/>
      <c r="C49" s="59"/>
      <c r="D49" s="57"/>
      <c r="E49" s="52" t="s">
        <v>77</v>
      </c>
      <c r="F49" s="54"/>
      <c r="G49" s="55"/>
      <c r="H49" s="56"/>
      <c r="I49" s="56"/>
      <c r="J49" s="56"/>
      <c r="K49" s="56"/>
      <c r="L49" s="56"/>
      <c r="M49" s="56"/>
    </row>
    <row r="50" spans="1:13" x14ac:dyDescent="0.25">
      <c r="A50" s="86"/>
      <c r="B50" s="87"/>
      <c r="C50" s="62">
        <v>1</v>
      </c>
      <c r="D50" s="67">
        <v>15</v>
      </c>
      <c r="E50" s="66" t="s">
        <v>80</v>
      </c>
      <c r="F50" s="46" t="s">
        <v>102</v>
      </c>
      <c r="G50" s="46">
        <v>5</v>
      </c>
      <c r="H50" s="66">
        <v>5</v>
      </c>
      <c r="I50" s="66">
        <v>5</v>
      </c>
      <c r="J50" s="66">
        <v>5</v>
      </c>
      <c r="K50" s="66"/>
      <c r="L50" s="66"/>
      <c r="M50" s="66"/>
    </row>
    <row r="51" spans="1:13" x14ac:dyDescent="0.25">
      <c r="A51" s="86"/>
      <c r="B51" s="87"/>
      <c r="C51" s="62"/>
      <c r="D51" s="67"/>
      <c r="E51" s="68"/>
      <c r="F51" s="46" t="s">
        <v>103</v>
      </c>
      <c r="G51" s="46">
        <v>0</v>
      </c>
      <c r="H51" s="67"/>
      <c r="I51" s="67"/>
      <c r="J51" s="67"/>
      <c r="K51" s="67"/>
      <c r="L51" s="67"/>
      <c r="M51" s="67"/>
    </row>
    <row r="52" spans="1:13" x14ac:dyDescent="0.25">
      <c r="A52" s="86"/>
      <c r="B52" s="87"/>
      <c r="C52" s="62">
        <v>2</v>
      </c>
      <c r="D52" s="67"/>
      <c r="E52" s="66" t="s">
        <v>78</v>
      </c>
      <c r="F52" s="46" t="s">
        <v>104</v>
      </c>
      <c r="G52" s="46">
        <v>5</v>
      </c>
      <c r="H52" s="66">
        <v>5</v>
      </c>
      <c r="I52" s="66">
        <v>5</v>
      </c>
      <c r="J52" s="66">
        <v>5</v>
      </c>
      <c r="K52" s="66"/>
      <c r="L52" s="66"/>
      <c r="M52" s="66"/>
    </row>
    <row r="53" spans="1:13" x14ac:dyDescent="0.25">
      <c r="A53" s="86"/>
      <c r="B53" s="87"/>
      <c r="C53" s="62"/>
      <c r="D53" s="67"/>
      <c r="E53" s="68"/>
      <c r="F53" s="46" t="s">
        <v>105</v>
      </c>
      <c r="G53" s="46">
        <v>0</v>
      </c>
      <c r="H53" s="67"/>
      <c r="I53" s="67"/>
      <c r="J53" s="67"/>
      <c r="K53" s="67"/>
      <c r="L53" s="67"/>
      <c r="M53" s="67"/>
    </row>
    <row r="54" spans="1:13" x14ac:dyDescent="0.25">
      <c r="A54" s="86"/>
      <c r="B54" s="87"/>
      <c r="C54" s="62">
        <v>3</v>
      </c>
      <c r="D54" s="67"/>
      <c r="E54" s="66" t="s">
        <v>79</v>
      </c>
      <c r="F54" s="46" t="s">
        <v>106</v>
      </c>
      <c r="G54" s="46">
        <v>5</v>
      </c>
      <c r="H54" s="66">
        <v>5</v>
      </c>
      <c r="I54" s="66">
        <v>5</v>
      </c>
      <c r="J54" s="66">
        <v>5</v>
      </c>
      <c r="K54" s="66"/>
      <c r="L54" s="66"/>
      <c r="M54" s="66"/>
    </row>
    <row r="55" spans="1:13" x14ac:dyDescent="0.25">
      <c r="A55" s="86"/>
      <c r="B55" s="87"/>
      <c r="C55" s="62"/>
      <c r="D55" s="67"/>
      <c r="E55" s="67"/>
      <c r="F55" s="46" t="s">
        <v>107</v>
      </c>
      <c r="G55" s="46">
        <v>2.5</v>
      </c>
      <c r="H55" s="67"/>
      <c r="I55" s="67"/>
      <c r="J55" s="67"/>
      <c r="K55" s="67"/>
      <c r="L55" s="67"/>
      <c r="M55" s="67"/>
    </row>
    <row r="56" spans="1:13" x14ac:dyDescent="0.25">
      <c r="A56" s="86"/>
      <c r="B56" s="87"/>
      <c r="C56" s="62"/>
      <c r="D56" s="67"/>
      <c r="E56" s="68"/>
      <c r="F56" s="46" t="s">
        <v>108</v>
      </c>
      <c r="G56" s="46">
        <v>0</v>
      </c>
      <c r="H56" s="67"/>
      <c r="I56" s="67"/>
      <c r="J56" s="67"/>
      <c r="K56" s="67"/>
      <c r="L56" s="67"/>
      <c r="M56" s="67"/>
    </row>
    <row r="57" spans="1:13" x14ac:dyDescent="0.25">
      <c r="A57" s="86"/>
      <c r="B57" s="87"/>
      <c r="C57" s="59"/>
      <c r="D57" s="58"/>
      <c r="E57" s="52" t="s">
        <v>82</v>
      </c>
      <c r="F57" s="50"/>
      <c r="G57" s="50"/>
      <c r="H57" s="51"/>
      <c r="I57" s="51"/>
      <c r="J57" s="51"/>
      <c r="K57" s="51"/>
      <c r="L57" s="51"/>
      <c r="M57" s="51"/>
    </row>
    <row r="58" spans="1:13" x14ac:dyDescent="0.25">
      <c r="A58" s="86"/>
      <c r="B58" s="87"/>
      <c r="C58" s="62">
        <v>4</v>
      </c>
      <c r="D58" s="67">
        <v>65</v>
      </c>
      <c r="E58" s="69" t="s">
        <v>113</v>
      </c>
      <c r="F58" s="46" t="s">
        <v>89</v>
      </c>
      <c r="G58" s="46">
        <v>10</v>
      </c>
      <c r="H58" s="66">
        <v>5</v>
      </c>
      <c r="I58" s="66">
        <v>5</v>
      </c>
      <c r="J58" s="66">
        <v>5</v>
      </c>
      <c r="K58" s="66"/>
      <c r="L58" s="66"/>
      <c r="M58" s="66"/>
    </row>
    <row r="59" spans="1:13" x14ac:dyDescent="0.25">
      <c r="A59" s="86"/>
      <c r="B59" s="87"/>
      <c r="C59" s="62"/>
      <c r="D59" s="67"/>
      <c r="E59" s="69"/>
      <c r="F59" s="46" t="s">
        <v>90</v>
      </c>
      <c r="G59" s="46">
        <v>5</v>
      </c>
      <c r="H59" s="67"/>
      <c r="I59" s="67"/>
      <c r="J59" s="67"/>
      <c r="K59" s="67"/>
      <c r="L59" s="67"/>
      <c r="M59" s="67"/>
    </row>
    <row r="60" spans="1:13" x14ac:dyDescent="0.25">
      <c r="A60" s="86"/>
      <c r="B60" s="87"/>
      <c r="C60" s="62"/>
      <c r="D60" s="67"/>
      <c r="E60" s="69"/>
      <c r="F60" s="46" t="s">
        <v>91</v>
      </c>
      <c r="G60" s="46">
        <v>4</v>
      </c>
      <c r="H60" s="67"/>
      <c r="I60" s="67"/>
      <c r="J60" s="67"/>
      <c r="K60" s="67"/>
      <c r="L60" s="67"/>
      <c r="M60" s="67"/>
    </row>
    <row r="61" spans="1:13" x14ac:dyDescent="0.25">
      <c r="A61" s="86"/>
      <c r="B61" s="87"/>
      <c r="C61" s="62"/>
      <c r="D61" s="67"/>
      <c r="E61" s="69"/>
      <c r="F61" s="46" t="s">
        <v>92</v>
      </c>
      <c r="G61" s="46">
        <v>3</v>
      </c>
      <c r="H61" s="67"/>
      <c r="I61" s="67"/>
      <c r="J61" s="67"/>
      <c r="K61" s="67"/>
      <c r="L61" s="67"/>
      <c r="M61" s="67"/>
    </row>
    <row r="62" spans="1:13" x14ac:dyDescent="0.25">
      <c r="A62" s="86"/>
      <c r="B62" s="87"/>
      <c r="C62" s="62"/>
      <c r="D62" s="67"/>
      <c r="E62" s="69"/>
      <c r="F62" s="46" t="s">
        <v>93</v>
      </c>
      <c r="G62" s="46">
        <v>2</v>
      </c>
      <c r="H62" s="67"/>
      <c r="I62" s="67"/>
      <c r="J62" s="67"/>
      <c r="K62" s="67"/>
      <c r="L62" s="67"/>
      <c r="M62" s="67"/>
    </row>
    <row r="63" spans="1:13" x14ac:dyDescent="0.25">
      <c r="A63" s="86"/>
      <c r="B63" s="87"/>
      <c r="C63" s="62"/>
      <c r="D63" s="67"/>
      <c r="E63" s="69"/>
      <c r="F63" s="46" t="s">
        <v>94</v>
      </c>
      <c r="G63" s="46">
        <v>1</v>
      </c>
      <c r="H63" s="68"/>
      <c r="I63" s="68"/>
      <c r="J63" s="68"/>
      <c r="K63" s="68"/>
      <c r="L63" s="68"/>
      <c r="M63" s="68"/>
    </row>
    <row r="64" spans="1:13" x14ac:dyDescent="0.25">
      <c r="A64" s="86"/>
      <c r="B64" s="87"/>
      <c r="C64" s="62">
        <v>5</v>
      </c>
      <c r="D64" s="67"/>
      <c r="E64" s="69" t="s">
        <v>114</v>
      </c>
      <c r="F64" s="46" t="s">
        <v>89</v>
      </c>
      <c r="G64" s="46">
        <v>5</v>
      </c>
      <c r="H64" s="66">
        <v>4</v>
      </c>
      <c r="I64" s="66">
        <v>4</v>
      </c>
      <c r="J64" s="66">
        <v>4</v>
      </c>
      <c r="K64" s="66"/>
      <c r="L64" s="66"/>
      <c r="M64" s="66"/>
    </row>
    <row r="65" spans="1:13" x14ac:dyDescent="0.25">
      <c r="A65" s="86"/>
      <c r="B65" s="87"/>
      <c r="C65" s="62"/>
      <c r="D65" s="67"/>
      <c r="E65" s="69"/>
      <c r="F65" s="46" t="s">
        <v>90</v>
      </c>
      <c r="G65" s="46">
        <v>4</v>
      </c>
      <c r="H65" s="67"/>
      <c r="I65" s="67"/>
      <c r="J65" s="67"/>
      <c r="K65" s="67"/>
      <c r="L65" s="67"/>
      <c r="M65" s="67"/>
    </row>
    <row r="66" spans="1:13" x14ac:dyDescent="0.25">
      <c r="A66" s="86"/>
      <c r="B66" s="87"/>
      <c r="C66" s="62"/>
      <c r="D66" s="67"/>
      <c r="E66" s="69"/>
      <c r="F66" s="46" t="s">
        <v>91</v>
      </c>
      <c r="G66" s="46">
        <v>3</v>
      </c>
      <c r="H66" s="67"/>
      <c r="I66" s="67"/>
      <c r="J66" s="67"/>
      <c r="K66" s="67"/>
      <c r="L66" s="67"/>
      <c r="M66" s="67"/>
    </row>
    <row r="67" spans="1:13" x14ac:dyDescent="0.25">
      <c r="A67" s="86"/>
      <c r="B67" s="87"/>
      <c r="C67" s="62"/>
      <c r="D67" s="67"/>
      <c r="E67" s="69"/>
      <c r="F67" s="46" t="s">
        <v>92</v>
      </c>
      <c r="G67" s="46">
        <v>2</v>
      </c>
      <c r="H67" s="67"/>
      <c r="I67" s="67"/>
      <c r="J67" s="67"/>
      <c r="K67" s="67"/>
      <c r="L67" s="67"/>
      <c r="M67" s="67"/>
    </row>
    <row r="68" spans="1:13" x14ac:dyDescent="0.25">
      <c r="A68" s="86"/>
      <c r="B68" s="87"/>
      <c r="C68" s="62"/>
      <c r="D68" s="67"/>
      <c r="E68" s="69"/>
      <c r="F68" s="46" t="s">
        <v>93</v>
      </c>
      <c r="G68" s="46">
        <v>1</v>
      </c>
      <c r="H68" s="67"/>
      <c r="I68" s="67"/>
      <c r="J68" s="67"/>
      <c r="K68" s="67"/>
      <c r="L68" s="67"/>
      <c r="M68" s="67"/>
    </row>
    <row r="69" spans="1:13" x14ac:dyDescent="0.25">
      <c r="A69" s="86"/>
      <c r="B69" s="87"/>
      <c r="C69" s="62"/>
      <c r="D69" s="67"/>
      <c r="E69" s="69"/>
      <c r="F69" s="46" t="s">
        <v>94</v>
      </c>
      <c r="G69" s="46">
        <v>0</v>
      </c>
      <c r="H69" s="68"/>
      <c r="I69" s="68"/>
      <c r="J69" s="68"/>
      <c r="K69" s="68"/>
      <c r="L69" s="68"/>
      <c r="M69" s="68"/>
    </row>
    <row r="70" spans="1:13" x14ac:dyDescent="0.25">
      <c r="A70" s="86"/>
      <c r="B70" s="87"/>
      <c r="C70" s="62">
        <v>6</v>
      </c>
      <c r="D70" s="67"/>
      <c r="E70" s="69" t="s">
        <v>122</v>
      </c>
      <c r="F70" s="46" t="s">
        <v>89</v>
      </c>
      <c r="G70" s="46">
        <v>5</v>
      </c>
      <c r="H70" s="66">
        <v>4</v>
      </c>
      <c r="I70" s="66">
        <v>4</v>
      </c>
      <c r="J70" s="66">
        <v>4</v>
      </c>
      <c r="K70" s="66"/>
      <c r="L70" s="66"/>
      <c r="M70" s="66"/>
    </row>
    <row r="71" spans="1:13" x14ac:dyDescent="0.25">
      <c r="A71" s="86"/>
      <c r="B71" s="87"/>
      <c r="C71" s="62"/>
      <c r="D71" s="67"/>
      <c r="E71" s="69"/>
      <c r="F71" s="46" t="s">
        <v>90</v>
      </c>
      <c r="G71" s="46">
        <v>4</v>
      </c>
      <c r="H71" s="67"/>
      <c r="I71" s="67"/>
      <c r="J71" s="67"/>
      <c r="K71" s="67"/>
      <c r="L71" s="67"/>
      <c r="M71" s="67"/>
    </row>
    <row r="72" spans="1:13" x14ac:dyDescent="0.25">
      <c r="A72" s="86"/>
      <c r="B72" s="87"/>
      <c r="C72" s="62"/>
      <c r="D72" s="67"/>
      <c r="E72" s="69"/>
      <c r="F72" s="46" t="s">
        <v>91</v>
      </c>
      <c r="G72" s="46">
        <v>3</v>
      </c>
      <c r="H72" s="67"/>
      <c r="I72" s="67"/>
      <c r="J72" s="67"/>
      <c r="K72" s="67"/>
      <c r="L72" s="67"/>
      <c r="M72" s="67"/>
    </row>
    <row r="73" spans="1:13" x14ac:dyDescent="0.25">
      <c r="A73" s="86"/>
      <c r="B73" s="87"/>
      <c r="C73" s="62"/>
      <c r="D73" s="67"/>
      <c r="E73" s="69"/>
      <c r="F73" s="46" t="s">
        <v>92</v>
      </c>
      <c r="G73" s="46">
        <v>2</v>
      </c>
      <c r="H73" s="67"/>
      <c r="I73" s="67"/>
      <c r="J73" s="67"/>
      <c r="K73" s="67"/>
      <c r="L73" s="67"/>
      <c r="M73" s="67"/>
    </row>
    <row r="74" spans="1:13" x14ac:dyDescent="0.25">
      <c r="A74" s="86"/>
      <c r="B74" s="87"/>
      <c r="C74" s="62"/>
      <c r="D74" s="67"/>
      <c r="E74" s="69"/>
      <c r="F74" s="46" t="s">
        <v>93</v>
      </c>
      <c r="G74" s="46">
        <v>1</v>
      </c>
      <c r="H74" s="67"/>
      <c r="I74" s="67"/>
      <c r="J74" s="67"/>
      <c r="K74" s="67"/>
      <c r="L74" s="67"/>
      <c r="M74" s="67"/>
    </row>
    <row r="75" spans="1:13" x14ac:dyDescent="0.25">
      <c r="A75" s="86"/>
      <c r="B75" s="87"/>
      <c r="C75" s="62"/>
      <c r="D75" s="67"/>
      <c r="E75" s="69"/>
      <c r="F75" s="46" t="s">
        <v>94</v>
      </c>
      <c r="G75" s="46">
        <v>0</v>
      </c>
      <c r="H75" s="68"/>
      <c r="I75" s="68"/>
      <c r="J75" s="68"/>
      <c r="K75" s="68"/>
      <c r="L75" s="68"/>
      <c r="M75" s="68"/>
    </row>
    <row r="76" spans="1:13" x14ac:dyDescent="0.25">
      <c r="A76" s="86"/>
      <c r="B76" s="87"/>
      <c r="C76" s="62">
        <v>7</v>
      </c>
      <c r="D76" s="67"/>
      <c r="E76" s="69" t="s">
        <v>81</v>
      </c>
      <c r="F76" s="46" t="s">
        <v>89</v>
      </c>
      <c r="G76" s="46">
        <v>5</v>
      </c>
      <c r="H76" s="66">
        <v>4</v>
      </c>
      <c r="I76" s="66">
        <v>4</v>
      </c>
      <c r="J76" s="66">
        <v>4</v>
      </c>
      <c r="K76" s="66"/>
      <c r="L76" s="66"/>
      <c r="M76" s="66"/>
    </row>
    <row r="77" spans="1:13" x14ac:dyDescent="0.25">
      <c r="A77" s="86"/>
      <c r="B77" s="87"/>
      <c r="C77" s="62"/>
      <c r="D77" s="67"/>
      <c r="E77" s="69"/>
      <c r="F77" s="46" t="s">
        <v>90</v>
      </c>
      <c r="G77" s="46">
        <v>4</v>
      </c>
      <c r="H77" s="67"/>
      <c r="I77" s="67"/>
      <c r="J77" s="67"/>
      <c r="K77" s="67"/>
      <c r="L77" s="67"/>
      <c r="M77" s="67"/>
    </row>
    <row r="78" spans="1:13" x14ac:dyDescent="0.25">
      <c r="A78" s="86"/>
      <c r="B78" s="87"/>
      <c r="C78" s="62"/>
      <c r="D78" s="67"/>
      <c r="E78" s="69"/>
      <c r="F78" s="46" t="s">
        <v>91</v>
      </c>
      <c r="G78" s="46">
        <v>3</v>
      </c>
      <c r="H78" s="67"/>
      <c r="I78" s="67"/>
      <c r="J78" s="67"/>
      <c r="K78" s="67"/>
      <c r="L78" s="67"/>
      <c r="M78" s="67"/>
    </row>
    <row r="79" spans="1:13" x14ac:dyDescent="0.25">
      <c r="A79" s="86"/>
      <c r="B79" s="87"/>
      <c r="C79" s="62"/>
      <c r="D79" s="67"/>
      <c r="E79" s="69"/>
      <c r="F79" s="46" t="s">
        <v>92</v>
      </c>
      <c r="G79" s="46">
        <v>2</v>
      </c>
      <c r="H79" s="67"/>
      <c r="I79" s="67"/>
      <c r="J79" s="67"/>
      <c r="K79" s="67"/>
      <c r="L79" s="67"/>
      <c r="M79" s="67"/>
    </row>
    <row r="80" spans="1:13" x14ac:dyDescent="0.25">
      <c r="A80" s="86"/>
      <c r="B80" s="87"/>
      <c r="C80" s="62"/>
      <c r="D80" s="67"/>
      <c r="E80" s="69"/>
      <c r="F80" s="46" t="s">
        <v>93</v>
      </c>
      <c r="G80" s="46">
        <v>1</v>
      </c>
      <c r="H80" s="67"/>
      <c r="I80" s="67"/>
      <c r="J80" s="67"/>
      <c r="K80" s="67"/>
      <c r="L80" s="67"/>
      <c r="M80" s="67"/>
    </row>
    <row r="81" spans="1:13" x14ac:dyDescent="0.25">
      <c r="A81" s="86"/>
      <c r="B81" s="87"/>
      <c r="C81" s="62"/>
      <c r="D81" s="67"/>
      <c r="E81" s="69"/>
      <c r="F81" s="46" t="s">
        <v>94</v>
      </c>
      <c r="G81" s="46">
        <v>0</v>
      </c>
      <c r="H81" s="68"/>
      <c r="I81" s="68"/>
      <c r="J81" s="68"/>
      <c r="K81" s="68"/>
      <c r="L81" s="68"/>
      <c r="M81" s="68"/>
    </row>
    <row r="82" spans="1:13" x14ac:dyDescent="0.25">
      <c r="A82" s="86"/>
      <c r="B82" s="87"/>
      <c r="C82" s="62">
        <v>8</v>
      </c>
      <c r="D82" s="67"/>
      <c r="E82" s="69" t="s">
        <v>135</v>
      </c>
      <c r="F82" s="46" t="s">
        <v>89</v>
      </c>
      <c r="G82" s="46">
        <v>5</v>
      </c>
      <c r="H82" s="66">
        <v>4</v>
      </c>
      <c r="I82" s="66">
        <v>4</v>
      </c>
      <c r="J82" s="66">
        <v>4</v>
      </c>
      <c r="K82" s="66"/>
      <c r="L82" s="66"/>
      <c r="M82" s="66"/>
    </row>
    <row r="83" spans="1:13" x14ac:dyDescent="0.25">
      <c r="A83" s="86"/>
      <c r="B83" s="87"/>
      <c r="C83" s="62"/>
      <c r="D83" s="67"/>
      <c r="E83" s="69"/>
      <c r="F83" s="46" t="s">
        <v>90</v>
      </c>
      <c r="G83" s="46">
        <v>4</v>
      </c>
      <c r="H83" s="67"/>
      <c r="I83" s="67"/>
      <c r="J83" s="67"/>
      <c r="K83" s="67"/>
      <c r="L83" s="67"/>
      <c r="M83" s="67"/>
    </row>
    <row r="84" spans="1:13" x14ac:dyDescent="0.25">
      <c r="A84" s="86"/>
      <c r="B84" s="87"/>
      <c r="C84" s="62"/>
      <c r="D84" s="67"/>
      <c r="E84" s="69"/>
      <c r="F84" s="46" t="s">
        <v>91</v>
      </c>
      <c r="G84" s="46">
        <v>3</v>
      </c>
      <c r="H84" s="67"/>
      <c r="I84" s="67"/>
      <c r="J84" s="67"/>
      <c r="K84" s="67"/>
      <c r="L84" s="67"/>
      <c r="M84" s="67"/>
    </row>
    <row r="85" spans="1:13" x14ac:dyDescent="0.25">
      <c r="A85" s="86"/>
      <c r="B85" s="87"/>
      <c r="C85" s="62"/>
      <c r="D85" s="67"/>
      <c r="E85" s="69"/>
      <c r="F85" s="46" t="s">
        <v>92</v>
      </c>
      <c r="G85" s="46">
        <v>2</v>
      </c>
      <c r="H85" s="67"/>
      <c r="I85" s="67"/>
      <c r="J85" s="67"/>
      <c r="K85" s="67"/>
      <c r="L85" s="67"/>
      <c r="M85" s="67"/>
    </row>
    <row r="86" spans="1:13" x14ac:dyDescent="0.25">
      <c r="A86" s="86"/>
      <c r="B86" s="87"/>
      <c r="C86" s="62"/>
      <c r="D86" s="67"/>
      <c r="E86" s="69"/>
      <c r="F86" s="46" t="s">
        <v>93</v>
      </c>
      <c r="G86" s="46">
        <v>1</v>
      </c>
      <c r="H86" s="67"/>
      <c r="I86" s="67"/>
      <c r="J86" s="67"/>
      <c r="K86" s="67"/>
      <c r="L86" s="67"/>
      <c r="M86" s="67"/>
    </row>
    <row r="87" spans="1:13" x14ac:dyDescent="0.25">
      <c r="A87" s="86"/>
      <c r="B87" s="87"/>
      <c r="C87" s="62"/>
      <c r="D87" s="67"/>
      <c r="E87" s="69"/>
      <c r="F87" s="46" t="s">
        <v>94</v>
      </c>
      <c r="G87" s="46">
        <v>0</v>
      </c>
      <c r="H87" s="68"/>
      <c r="I87" s="68"/>
      <c r="J87" s="68"/>
      <c r="K87" s="68"/>
      <c r="L87" s="68"/>
      <c r="M87" s="68"/>
    </row>
    <row r="88" spans="1:13" x14ac:dyDescent="0.25">
      <c r="A88" s="86"/>
      <c r="B88" s="87"/>
      <c r="C88" s="62">
        <v>9</v>
      </c>
      <c r="D88" s="67"/>
      <c r="E88" s="69" t="s">
        <v>109</v>
      </c>
      <c r="F88" s="46" t="s">
        <v>89</v>
      </c>
      <c r="G88" s="46">
        <v>5</v>
      </c>
      <c r="H88" s="66">
        <v>4</v>
      </c>
      <c r="I88" s="66">
        <v>4</v>
      </c>
      <c r="J88" s="66">
        <v>4</v>
      </c>
      <c r="K88" s="66"/>
      <c r="L88" s="66"/>
      <c r="M88" s="66"/>
    </row>
    <row r="89" spans="1:13" x14ac:dyDescent="0.25">
      <c r="A89" s="86"/>
      <c r="B89" s="87"/>
      <c r="C89" s="62"/>
      <c r="D89" s="67"/>
      <c r="E89" s="69"/>
      <c r="F89" s="46" t="s">
        <v>90</v>
      </c>
      <c r="G89" s="46">
        <v>4</v>
      </c>
      <c r="H89" s="67"/>
      <c r="I89" s="67"/>
      <c r="J89" s="67"/>
      <c r="K89" s="67"/>
      <c r="L89" s="67"/>
      <c r="M89" s="67"/>
    </row>
    <row r="90" spans="1:13" x14ac:dyDescent="0.25">
      <c r="A90" s="86"/>
      <c r="B90" s="87"/>
      <c r="C90" s="62"/>
      <c r="D90" s="67"/>
      <c r="E90" s="69"/>
      <c r="F90" s="46" t="s">
        <v>91</v>
      </c>
      <c r="G90" s="46">
        <v>3</v>
      </c>
      <c r="H90" s="67"/>
      <c r="I90" s="67"/>
      <c r="J90" s="67"/>
      <c r="K90" s="67"/>
      <c r="L90" s="67"/>
      <c r="M90" s="67"/>
    </row>
    <row r="91" spans="1:13" x14ac:dyDescent="0.25">
      <c r="A91" s="86"/>
      <c r="B91" s="87"/>
      <c r="C91" s="62"/>
      <c r="D91" s="67"/>
      <c r="E91" s="69"/>
      <c r="F91" s="46" t="s">
        <v>92</v>
      </c>
      <c r="G91" s="46">
        <v>2</v>
      </c>
      <c r="H91" s="67"/>
      <c r="I91" s="67"/>
      <c r="J91" s="67"/>
      <c r="K91" s="67"/>
      <c r="L91" s="67"/>
      <c r="M91" s="67"/>
    </row>
    <row r="92" spans="1:13" x14ac:dyDescent="0.25">
      <c r="A92" s="86"/>
      <c r="B92" s="87"/>
      <c r="C92" s="62"/>
      <c r="D92" s="67"/>
      <c r="E92" s="69"/>
      <c r="F92" s="46" t="s">
        <v>93</v>
      </c>
      <c r="G92" s="46">
        <v>1</v>
      </c>
      <c r="H92" s="67"/>
      <c r="I92" s="67"/>
      <c r="J92" s="67"/>
      <c r="K92" s="67"/>
      <c r="L92" s="67"/>
      <c r="M92" s="67"/>
    </row>
    <row r="93" spans="1:13" x14ac:dyDescent="0.25">
      <c r="A93" s="86"/>
      <c r="B93" s="87"/>
      <c r="C93" s="62"/>
      <c r="D93" s="67"/>
      <c r="E93" s="69"/>
      <c r="F93" s="46" t="s">
        <v>94</v>
      </c>
      <c r="G93" s="46">
        <v>0</v>
      </c>
      <c r="H93" s="68"/>
      <c r="I93" s="68"/>
      <c r="J93" s="68"/>
      <c r="K93" s="68"/>
      <c r="L93" s="68"/>
      <c r="M93" s="68"/>
    </row>
    <row r="94" spans="1:13" x14ac:dyDescent="0.25">
      <c r="A94" s="86"/>
      <c r="B94" s="87"/>
      <c r="C94" s="62">
        <v>10</v>
      </c>
      <c r="D94" s="67"/>
      <c r="E94" s="76" t="s">
        <v>88</v>
      </c>
      <c r="F94" s="46" t="s">
        <v>89</v>
      </c>
      <c r="G94" s="46">
        <v>5</v>
      </c>
      <c r="H94" s="66">
        <v>5</v>
      </c>
      <c r="I94" s="66">
        <v>5</v>
      </c>
      <c r="J94" s="66">
        <v>5</v>
      </c>
      <c r="K94" s="66"/>
      <c r="L94" s="66"/>
      <c r="M94" s="66"/>
    </row>
    <row r="95" spans="1:13" x14ac:dyDescent="0.25">
      <c r="A95" s="86"/>
      <c r="B95" s="87"/>
      <c r="C95" s="62"/>
      <c r="D95" s="67"/>
      <c r="E95" s="76"/>
      <c r="F95" s="46" t="s">
        <v>90</v>
      </c>
      <c r="G95" s="46">
        <v>4</v>
      </c>
      <c r="H95" s="67"/>
      <c r="I95" s="67"/>
      <c r="J95" s="67"/>
      <c r="K95" s="67"/>
      <c r="L95" s="67"/>
      <c r="M95" s="67"/>
    </row>
    <row r="96" spans="1:13" x14ac:dyDescent="0.25">
      <c r="A96" s="86"/>
      <c r="B96" s="87"/>
      <c r="C96" s="62"/>
      <c r="D96" s="67"/>
      <c r="E96" s="76"/>
      <c r="F96" s="46" t="s">
        <v>91</v>
      </c>
      <c r="G96" s="46">
        <v>3</v>
      </c>
      <c r="H96" s="67"/>
      <c r="I96" s="67"/>
      <c r="J96" s="67"/>
      <c r="K96" s="67"/>
      <c r="L96" s="67"/>
      <c r="M96" s="67"/>
    </row>
    <row r="97" spans="1:19" x14ac:dyDescent="0.25">
      <c r="A97" s="86"/>
      <c r="B97" s="87"/>
      <c r="C97" s="62"/>
      <c r="D97" s="67"/>
      <c r="E97" s="76"/>
      <c r="F97" s="46" t="s">
        <v>92</v>
      </c>
      <c r="G97" s="46">
        <v>2</v>
      </c>
      <c r="H97" s="67"/>
      <c r="I97" s="67"/>
      <c r="J97" s="67"/>
      <c r="K97" s="67"/>
      <c r="L97" s="67"/>
      <c r="M97" s="67"/>
    </row>
    <row r="98" spans="1:19" x14ac:dyDescent="0.25">
      <c r="A98" s="86"/>
      <c r="B98" s="87"/>
      <c r="C98" s="62"/>
      <c r="D98" s="67"/>
      <c r="E98" s="76"/>
      <c r="F98" s="46" t="s">
        <v>93</v>
      </c>
      <c r="G98" s="46">
        <v>1</v>
      </c>
      <c r="H98" s="67"/>
      <c r="I98" s="67"/>
      <c r="J98" s="67"/>
      <c r="K98" s="67"/>
      <c r="L98" s="67"/>
      <c r="M98" s="67"/>
    </row>
    <row r="99" spans="1:19" x14ac:dyDescent="0.25">
      <c r="A99" s="86"/>
      <c r="B99" s="87"/>
      <c r="C99" s="62"/>
      <c r="D99" s="67"/>
      <c r="E99" s="76"/>
      <c r="F99" s="46" t="s">
        <v>94</v>
      </c>
      <c r="G99" s="46">
        <v>0</v>
      </c>
      <c r="H99" s="68"/>
      <c r="I99" s="68"/>
      <c r="J99" s="68"/>
      <c r="K99" s="68"/>
      <c r="L99" s="68"/>
      <c r="M99" s="68"/>
    </row>
    <row r="100" spans="1:19" x14ac:dyDescent="0.25">
      <c r="A100" s="86"/>
      <c r="B100" s="87"/>
      <c r="C100" s="62">
        <v>11</v>
      </c>
      <c r="D100" s="67"/>
      <c r="E100" s="69" t="s">
        <v>112</v>
      </c>
      <c r="F100" s="46" t="s">
        <v>89</v>
      </c>
      <c r="G100" s="46">
        <v>5</v>
      </c>
      <c r="H100" s="66">
        <v>5</v>
      </c>
      <c r="I100" s="66">
        <v>5</v>
      </c>
      <c r="J100" s="66">
        <v>5</v>
      </c>
      <c r="K100" s="66"/>
      <c r="L100" s="66"/>
      <c r="M100" s="66"/>
    </row>
    <row r="101" spans="1:19" x14ac:dyDescent="0.25">
      <c r="A101" s="86"/>
      <c r="B101" s="87"/>
      <c r="C101" s="62"/>
      <c r="D101" s="67"/>
      <c r="E101" s="69"/>
      <c r="F101" s="46" t="s">
        <v>90</v>
      </c>
      <c r="G101" s="46">
        <v>4</v>
      </c>
      <c r="H101" s="67"/>
      <c r="I101" s="67"/>
      <c r="J101" s="67"/>
      <c r="K101" s="67"/>
      <c r="L101" s="67"/>
      <c r="M101" s="67"/>
    </row>
    <row r="102" spans="1:19" x14ac:dyDescent="0.25">
      <c r="A102" s="86"/>
      <c r="B102" s="87"/>
      <c r="C102" s="62"/>
      <c r="D102" s="67"/>
      <c r="E102" s="69"/>
      <c r="F102" s="46" t="s">
        <v>91</v>
      </c>
      <c r="G102" s="46">
        <v>3</v>
      </c>
      <c r="H102" s="67"/>
      <c r="I102" s="67"/>
      <c r="J102" s="67"/>
      <c r="K102" s="67"/>
      <c r="L102" s="67"/>
      <c r="M102" s="67"/>
    </row>
    <row r="103" spans="1:19" x14ac:dyDescent="0.25">
      <c r="A103" s="86"/>
      <c r="B103" s="87"/>
      <c r="C103" s="62"/>
      <c r="D103" s="67"/>
      <c r="E103" s="69"/>
      <c r="F103" s="46" t="s">
        <v>92</v>
      </c>
      <c r="G103" s="46">
        <v>2</v>
      </c>
      <c r="H103" s="67"/>
      <c r="I103" s="67"/>
      <c r="J103" s="67"/>
      <c r="K103" s="67"/>
      <c r="L103" s="67"/>
      <c r="M103" s="67"/>
    </row>
    <row r="104" spans="1:19" x14ac:dyDescent="0.25">
      <c r="A104" s="86"/>
      <c r="B104" s="87"/>
      <c r="C104" s="62"/>
      <c r="D104" s="67"/>
      <c r="E104" s="69"/>
      <c r="F104" s="46" t="s">
        <v>93</v>
      </c>
      <c r="G104" s="46">
        <v>1</v>
      </c>
      <c r="H104" s="67"/>
      <c r="I104" s="67"/>
      <c r="J104" s="67"/>
      <c r="K104" s="67"/>
      <c r="L104" s="67"/>
      <c r="M104" s="67"/>
    </row>
    <row r="105" spans="1:19" x14ac:dyDescent="0.25">
      <c r="A105" s="86"/>
      <c r="B105" s="87"/>
      <c r="C105" s="62"/>
      <c r="D105" s="67"/>
      <c r="E105" s="69"/>
      <c r="F105" s="46" t="s">
        <v>94</v>
      </c>
      <c r="G105" s="46">
        <v>0</v>
      </c>
      <c r="H105" s="68"/>
      <c r="I105" s="68"/>
      <c r="J105" s="68"/>
      <c r="K105" s="68"/>
      <c r="L105" s="68"/>
      <c r="M105" s="68"/>
    </row>
    <row r="106" spans="1:19" x14ac:dyDescent="0.25">
      <c r="A106" s="86"/>
      <c r="B106" s="87"/>
      <c r="C106" s="62">
        <v>12</v>
      </c>
      <c r="D106" s="67"/>
      <c r="E106" s="69" t="s">
        <v>95</v>
      </c>
      <c r="F106" s="46" t="s">
        <v>89</v>
      </c>
      <c r="G106" s="46">
        <v>5</v>
      </c>
      <c r="H106" s="66">
        <v>4</v>
      </c>
      <c r="I106" s="66">
        <v>4</v>
      </c>
      <c r="J106" s="66">
        <v>4</v>
      </c>
      <c r="K106" s="66"/>
      <c r="L106" s="66"/>
      <c r="M106" s="66"/>
      <c r="Q106" s="47"/>
      <c r="R106" s="48"/>
      <c r="S106" s="48"/>
    </row>
    <row r="107" spans="1:19" x14ac:dyDescent="0.25">
      <c r="A107" s="86"/>
      <c r="B107" s="87"/>
      <c r="C107" s="62"/>
      <c r="D107" s="67"/>
      <c r="E107" s="69"/>
      <c r="F107" s="46" t="s">
        <v>90</v>
      </c>
      <c r="G107" s="46">
        <v>4</v>
      </c>
      <c r="H107" s="67"/>
      <c r="I107" s="67"/>
      <c r="J107" s="67"/>
      <c r="K107" s="67"/>
      <c r="L107" s="67"/>
      <c r="M107" s="67"/>
      <c r="Q107" s="47"/>
      <c r="R107" s="48"/>
      <c r="S107" s="48"/>
    </row>
    <row r="108" spans="1:19" x14ac:dyDescent="0.25">
      <c r="A108" s="86"/>
      <c r="B108" s="87"/>
      <c r="C108" s="62"/>
      <c r="D108" s="67"/>
      <c r="E108" s="69"/>
      <c r="F108" s="46" t="s">
        <v>91</v>
      </c>
      <c r="G108" s="46">
        <v>3</v>
      </c>
      <c r="H108" s="67"/>
      <c r="I108" s="67"/>
      <c r="J108" s="67"/>
      <c r="K108" s="67"/>
      <c r="L108" s="67"/>
      <c r="M108" s="67"/>
      <c r="Q108" s="47"/>
      <c r="R108" s="48"/>
      <c r="S108" s="48"/>
    </row>
    <row r="109" spans="1:19" x14ac:dyDescent="0.25">
      <c r="A109" s="86"/>
      <c r="B109" s="87"/>
      <c r="C109" s="62"/>
      <c r="D109" s="67"/>
      <c r="E109" s="69"/>
      <c r="F109" s="46" t="s">
        <v>92</v>
      </c>
      <c r="G109" s="46">
        <v>2</v>
      </c>
      <c r="H109" s="67"/>
      <c r="I109" s="67"/>
      <c r="J109" s="67"/>
      <c r="K109" s="67"/>
      <c r="L109" s="67"/>
      <c r="M109" s="67"/>
      <c r="Q109" s="47"/>
      <c r="R109" s="48"/>
      <c r="S109" s="48"/>
    </row>
    <row r="110" spans="1:19" x14ac:dyDescent="0.25">
      <c r="A110" s="86"/>
      <c r="B110" s="87"/>
      <c r="C110" s="62"/>
      <c r="D110" s="67"/>
      <c r="E110" s="69"/>
      <c r="F110" s="46" t="s">
        <v>93</v>
      </c>
      <c r="G110" s="46">
        <v>1</v>
      </c>
      <c r="H110" s="67"/>
      <c r="I110" s="67"/>
      <c r="J110" s="67"/>
      <c r="K110" s="67"/>
      <c r="L110" s="67"/>
      <c r="M110" s="67"/>
      <c r="Q110" s="47"/>
      <c r="R110" s="48"/>
      <c r="S110" s="48"/>
    </row>
    <row r="111" spans="1:19" x14ac:dyDescent="0.25">
      <c r="A111" s="86"/>
      <c r="B111" s="87"/>
      <c r="C111" s="62"/>
      <c r="D111" s="67"/>
      <c r="E111" s="69"/>
      <c r="F111" s="46" t="s">
        <v>94</v>
      </c>
      <c r="G111" s="46">
        <v>0</v>
      </c>
      <c r="H111" s="68"/>
      <c r="I111" s="68"/>
      <c r="J111" s="68"/>
      <c r="K111" s="68"/>
      <c r="L111" s="68"/>
      <c r="M111" s="68"/>
      <c r="Q111" s="47"/>
      <c r="R111" s="48"/>
      <c r="S111" s="48"/>
    </row>
    <row r="112" spans="1:19" x14ac:dyDescent="0.25">
      <c r="A112" s="86"/>
      <c r="B112" s="87"/>
      <c r="C112" s="62">
        <v>13</v>
      </c>
      <c r="D112" s="67"/>
      <c r="E112" s="69" t="s">
        <v>124</v>
      </c>
      <c r="F112" s="46" t="s">
        <v>89</v>
      </c>
      <c r="G112" s="46">
        <v>5</v>
      </c>
      <c r="H112" s="66">
        <v>4</v>
      </c>
      <c r="I112" s="66">
        <v>4</v>
      </c>
      <c r="J112" s="66">
        <v>4</v>
      </c>
      <c r="K112" s="66"/>
      <c r="L112" s="66"/>
      <c r="M112" s="66"/>
      <c r="Q112" s="47"/>
      <c r="R112" s="48"/>
      <c r="S112" s="48"/>
    </row>
    <row r="113" spans="1:19" x14ac:dyDescent="0.25">
      <c r="A113" s="86"/>
      <c r="B113" s="87"/>
      <c r="C113" s="62"/>
      <c r="D113" s="67"/>
      <c r="E113" s="69"/>
      <c r="F113" s="46" t="s">
        <v>90</v>
      </c>
      <c r="G113" s="46">
        <v>4</v>
      </c>
      <c r="H113" s="67"/>
      <c r="I113" s="67"/>
      <c r="J113" s="67"/>
      <c r="K113" s="67"/>
      <c r="L113" s="67"/>
      <c r="M113" s="67"/>
      <c r="Q113" s="47"/>
      <c r="R113" s="48"/>
      <c r="S113" s="48"/>
    </row>
    <row r="114" spans="1:19" x14ac:dyDescent="0.25">
      <c r="A114" s="86"/>
      <c r="B114" s="87"/>
      <c r="C114" s="62"/>
      <c r="D114" s="67"/>
      <c r="E114" s="69"/>
      <c r="F114" s="46" t="s">
        <v>91</v>
      </c>
      <c r="G114" s="46">
        <v>3</v>
      </c>
      <c r="H114" s="67"/>
      <c r="I114" s="67"/>
      <c r="J114" s="67"/>
      <c r="K114" s="67"/>
      <c r="L114" s="67"/>
      <c r="M114" s="67"/>
      <c r="Q114" s="47"/>
      <c r="R114" s="48"/>
      <c r="S114" s="48"/>
    </row>
    <row r="115" spans="1:19" x14ac:dyDescent="0.25">
      <c r="A115" s="86"/>
      <c r="B115" s="87"/>
      <c r="C115" s="62"/>
      <c r="D115" s="67"/>
      <c r="E115" s="69"/>
      <c r="F115" s="46" t="s">
        <v>92</v>
      </c>
      <c r="G115" s="46">
        <v>2</v>
      </c>
      <c r="H115" s="67"/>
      <c r="I115" s="67"/>
      <c r="J115" s="67"/>
      <c r="K115" s="67"/>
      <c r="L115" s="67"/>
      <c r="M115" s="67"/>
      <c r="Q115" s="47"/>
      <c r="R115" s="48"/>
      <c r="S115" s="48"/>
    </row>
    <row r="116" spans="1:19" x14ac:dyDescent="0.25">
      <c r="A116" s="86"/>
      <c r="B116" s="87"/>
      <c r="C116" s="62"/>
      <c r="D116" s="67"/>
      <c r="E116" s="69"/>
      <c r="F116" s="46" t="s">
        <v>93</v>
      </c>
      <c r="G116" s="46">
        <v>1</v>
      </c>
      <c r="H116" s="67"/>
      <c r="I116" s="67"/>
      <c r="J116" s="67"/>
      <c r="K116" s="67"/>
      <c r="L116" s="67"/>
      <c r="M116" s="67"/>
      <c r="Q116" s="47"/>
      <c r="R116" s="48"/>
      <c r="S116" s="48"/>
    </row>
    <row r="117" spans="1:19" x14ac:dyDescent="0.25">
      <c r="A117" s="86"/>
      <c r="B117" s="87"/>
      <c r="C117" s="62"/>
      <c r="D117" s="67"/>
      <c r="E117" s="69"/>
      <c r="F117" s="46" t="s">
        <v>94</v>
      </c>
      <c r="G117" s="46">
        <v>0</v>
      </c>
      <c r="H117" s="68"/>
      <c r="I117" s="68"/>
      <c r="J117" s="68"/>
      <c r="K117" s="68"/>
      <c r="L117" s="68"/>
      <c r="M117" s="68"/>
      <c r="Q117" s="47"/>
      <c r="R117" s="48"/>
      <c r="S117" s="48"/>
    </row>
    <row r="118" spans="1:19" ht="14.45" customHeight="1" x14ac:dyDescent="0.25">
      <c r="A118" s="86"/>
      <c r="B118" s="87"/>
      <c r="C118" s="62">
        <v>14</v>
      </c>
      <c r="D118" s="67"/>
      <c r="E118" s="70" t="s">
        <v>97</v>
      </c>
      <c r="F118" s="46" t="s">
        <v>98</v>
      </c>
      <c r="G118" s="46">
        <v>10</v>
      </c>
      <c r="H118" s="66">
        <v>5</v>
      </c>
      <c r="I118" s="66">
        <v>5</v>
      </c>
      <c r="J118" s="66">
        <v>5</v>
      </c>
      <c r="K118" s="66"/>
      <c r="L118" s="66"/>
      <c r="M118" s="66"/>
      <c r="Q118" s="47"/>
      <c r="R118" s="48"/>
      <c r="S118" s="48"/>
    </row>
    <row r="119" spans="1:19" x14ac:dyDescent="0.25">
      <c r="A119" s="86"/>
      <c r="B119" s="87"/>
      <c r="C119" s="62"/>
      <c r="D119" s="67"/>
      <c r="E119" s="71"/>
      <c r="F119" s="46" t="s">
        <v>110</v>
      </c>
      <c r="G119" s="46">
        <v>5</v>
      </c>
      <c r="H119" s="67"/>
      <c r="I119" s="67"/>
      <c r="J119" s="67"/>
      <c r="K119" s="67"/>
      <c r="L119" s="67"/>
      <c r="M119" s="67"/>
      <c r="Q119" s="47"/>
      <c r="R119" s="48"/>
      <c r="S119" s="48"/>
    </row>
    <row r="120" spans="1:19" x14ac:dyDescent="0.25">
      <c r="A120" s="86"/>
      <c r="B120" s="87"/>
      <c r="C120" s="62"/>
      <c r="D120" s="67"/>
      <c r="E120" s="72"/>
      <c r="F120" s="46" t="s">
        <v>111</v>
      </c>
      <c r="G120" s="46">
        <v>-10</v>
      </c>
      <c r="H120" s="68"/>
      <c r="I120" s="68"/>
      <c r="J120" s="68"/>
      <c r="K120" s="68"/>
      <c r="L120" s="68"/>
      <c r="M120" s="68"/>
      <c r="Q120" s="47"/>
      <c r="R120" s="48"/>
      <c r="S120" s="48"/>
    </row>
    <row r="121" spans="1:19" x14ac:dyDescent="0.25">
      <c r="A121" s="86"/>
      <c r="B121" s="87"/>
      <c r="C121" s="59"/>
      <c r="D121" s="58"/>
      <c r="E121" s="49" t="s">
        <v>83</v>
      </c>
      <c r="F121" s="50"/>
      <c r="G121" s="50"/>
      <c r="H121" s="51"/>
      <c r="I121" s="51"/>
      <c r="J121" s="51"/>
      <c r="K121" s="51"/>
      <c r="L121" s="51"/>
      <c r="M121" s="51"/>
      <c r="Q121" s="47"/>
      <c r="R121" s="48"/>
      <c r="S121" s="48"/>
    </row>
    <row r="122" spans="1:19" x14ac:dyDescent="0.25">
      <c r="A122" s="86"/>
      <c r="B122" s="87"/>
      <c r="C122" s="62">
        <v>15</v>
      </c>
      <c r="D122" s="67">
        <v>20</v>
      </c>
      <c r="E122" s="69" t="s">
        <v>132</v>
      </c>
      <c r="F122" s="46" t="s">
        <v>99</v>
      </c>
      <c r="G122" s="46">
        <v>5</v>
      </c>
      <c r="H122" s="66">
        <v>3</v>
      </c>
      <c r="I122" s="66">
        <v>3</v>
      </c>
      <c r="J122" s="66">
        <v>3</v>
      </c>
      <c r="K122" s="66"/>
      <c r="L122" s="66"/>
      <c r="M122" s="66"/>
      <c r="Q122" s="47"/>
      <c r="R122" s="48"/>
      <c r="S122" s="48"/>
    </row>
    <row r="123" spans="1:19" x14ac:dyDescent="0.25">
      <c r="A123" s="86"/>
      <c r="B123" s="87"/>
      <c r="C123" s="62"/>
      <c r="D123" s="67"/>
      <c r="E123" s="69"/>
      <c r="F123" s="46" t="s">
        <v>100</v>
      </c>
      <c r="G123" s="46">
        <v>4</v>
      </c>
      <c r="H123" s="67"/>
      <c r="I123" s="67"/>
      <c r="J123" s="67"/>
      <c r="K123" s="67"/>
      <c r="L123" s="67"/>
      <c r="M123" s="67"/>
      <c r="Q123" s="47"/>
      <c r="R123" s="48"/>
      <c r="S123" s="48"/>
    </row>
    <row r="124" spans="1:19" x14ac:dyDescent="0.25">
      <c r="A124" s="86"/>
      <c r="B124" s="87"/>
      <c r="C124" s="62"/>
      <c r="D124" s="67"/>
      <c r="E124" s="69"/>
      <c r="F124" s="46" t="s">
        <v>101</v>
      </c>
      <c r="G124" s="46">
        <v>3</v>
      </c>
      <c r="H124" s="67"/>
      <c r="I124" s="67"/>
      <c r="J124" s="67"/>
      <c r="K124" s="67"/>
      <c r="L124" s="67"/>
      <c r="M124" s="67"/>
    </row>
    <row r="125" spans="1:19" x14ac:dyDescent="0.25">
      <c r="A125" s="86"/>
      <c r="B125" s="87"/>
      <c r="C125" s="62"/>
      <c r="D125" s="67"/>
      <c r="E125" s="69"/>
      <c r="F125" s="46" t="s">
        <v>92</v>
      </c>
      <c r="G125" s="46">
        <v>2</v>
      </c>
      <c r="H125" s="67"/>
      <c r="I125" s="67"/>
      <c r="J125" s="67"/>
      <c r="K125" s="67"/>
      <c r="L125" s="67"/>
      <c r="M125" s="67"/>
    </row>
    <row r="126" spans="1:19" x14ac:dyDescent="0.25">
      <c r="A126" s="86"/>
      <c r="B126" s="87"/>
      <c r="C126" s="62"/>
      <c r="D126" s="67"/>
      <c r="E126" s="69"/>
      <c r="F126" s="46" t="s">
        <v>93</v>
      </c>
      <c r="G126" s="46">
        <v>1</v>
      </c>
      <c r="H126" s="67"/>
      <c r="I126" s="67"/>
      <c r="J126" s="67"/>
      <c r="K126" s="67"/>
      <c r="L126" s="67"/>
      <c r="M126" s="67"/>
    </row>
    <row r="127" spans="1:19" x14ac:dyDescent="0.25">
      <c r="A127" s="86"/>
      <c r="B127" s="87"/>
      <c r="C127" s="62"/>
      <c r="D127" s="67"/>
      <c r="E127" s="69"/>
      <c r="F127" s="46" t="s">
        <v>94</v>
      </c>
      <c r="G127" s="46">
        <v>0</v>
      </c>
      <c r="H127" s="68"/>
      <c r="I127" s="68"/>
      <c r="J127" s="68"/>
      <c r="K127" s="68"/>
      <c r="L127" s="68"/>
      <c r="M127" s="68"/>
    </row>
    <row r="128" spans="1:19" x14ac:dyDescent="0.25">
      <c r="A128" s="86"/>
      <c r="B128" s="87"/>
      <c r="C128" s="62">
        <v>16</v>
      </c>
      <c r="D128" s="67"/>
      <c r="E128" s="69" t="s">
        <v>84</v>
      </c>
      <c r="F128" s="46" t="s">
        <v>89</v>
      </c>
      <c r="G128" s="46">
        <v>5</v>
      </c>
      <c r="H128" s="66">
        <v>4</v>
      </c>
      <c r="I128" s="66">
        <v>4</v>
      </c>
      <c r="J128" s="66">
        <v>4</v>
      </c>
      <c r="K128" s="66"/>
      <c r="L128" s="66"/>
      <c r="M128" s="66"/>
    </row>
    <row r="129" spans="1:13" x14ac:dyDescent="0.25">
      <c r="A129" s="86"/>
      <c r="B129" s="87"/>
      <c r="C129" s="62"/>
      <c r="D129" s="67"/>
      <c r="E129" s="69"/>
      <c r="F129" s="46" t="s">
        <v>90</v>
      </c>
      <c r="G129" s="46">
        <v>4</v>
      </c>
      <c r="H129" s="67"/>
      <c r="I129" s="67"/>
      <c r="J129" s="67"/>
      <c r="K129" s="67"/>
      <c r="L129" s="67"/>
      <c r="M129" s="67"/>
    </row>
    <row r="130" spans="1:13" x14ac:dyDescent="0.25">
      <c r="A130" s="86"/>
      <c r="B130" s="87"/>
      <c r="C130" s="62"/>
      <c r="D130" s="67"/>
      <c r="E130" s="69"/>
      <c r="F130" s="46" t="s">
        <v>91</v>
      </c>
      <c r="G130" s="46">
        <v>3</v>
      </c>
      <c r="H130" s="67"/>
      <c r="I130" s="67"/>
      <c r="J130" s="67"/>
      <c r="K130" s="67"/>
      <c r="L130" s="67"/>
      <c r="M130" s="67"/>
    </row>
    <row r="131" spans="1:13" x14ac:dyDescent="0.25">
      <c r="A131" s="86"/>
      <c r="B131" s="87"/>
      <c r="C131" s="62"/>
      <c r="D131" s="67"/>
      <c r="E131" s="69"/>
      <c r="F131" s="46" t="s">
        <v>92</v>
      </c>
      <c r="G131" s="46">
        <v>2</v>
      </c>
      <c r="H131" s="67"/>
      <c r="I131" s="67"/>
      <c r="J131" s="67"/>
      <c r="K131" s="67"/>
      <c r="L131" s="67"/>
      <c r="M131" s="67"/>
    </row>
    <row r="132" spans="1:13" x14ac:dyDescent="0.25">
      <c r="A132" s="86"/>
      <c r="B132" s="87"/>
      <c r="C132" s="62"/>
      <c r="D132" s="67"/>
      <c r="E132" s="69"/>
      <c r="F132" s="46" t="s">
        <v>93</v>
      </c>
      <c r="G132" s="46">
        <v>1</v>
      </c>
      <c r="H132" s="67"/>
      <c r="I132" s="67"/>
      <c r="J132" s="67"/>
      <c r="K132" s="67"/>
      <c r="L132" s="67"/>
      <c r="M132" s="67"/>
    </row>
    <row r="133" spans="1:13" x14ac:dyDescent="0.25">
      <c r="A133" s="86"/>
      <c r="B133" s="87"/>
      <c r="C133" s="62"/>
      <c r="D133" s="67"/>
      <c r="E133" s="69"/>
      <c r="F133" s="46" t="s">
        <v>94</v>
      </c>
      <c r="G133" s="46">
        <v>0</v>
      </c>
      <c r="H133" s="68"/>
      <c r="I133" s="68"/>
      <c r="J133" s="68"/>
      <c r="K133" s="68"/>
      <c r="L133" s="68"/>
      <c r="M133" s="68"/>
    </row>
    <row r="134" spans="1:13" x14ac:dyDescent="0.25">
      <c r="A134" s="86"/>
      <c r="B134" s="87"/>
      <c r="C134" s="62">
        <v>17</v>
      </c>
      <c r="D134" s="67"/>
      <c r="E134" s="69" t="s">
        <v>85</v>
      </c>
      <c r="F134" s="46" t="s">
        <v>89</v>
      </c>
      <c r="G134" s="46">
        <v>5</v>
      </c>
      <c r="H134" s="66">
        <v>2</v>
      </c>
      <c r="I134" s="66">
        <v>3</v>
      </c>
      <c r="J134" s="66">
        <v>3</v>
      </c>
      <c r="K134" s="66"/>
      <c r="L134" s="66"/>
      <c r="M134" s="66"/>
    </row>
    <row r="135" spans="1:13" x14ac:dyDescent="0.25">
      <c r="A135" s="86"/>
      <c r="B135" s="87"/>
      <c r="C135" s="62"/>
      <c r="D135" s="67"/>
      <c r="E135" s="69"/>
      <c r="F135" s="46" t="s">
        <v>90</v>
      </c>
      <c r="G135" s="46">
        <v>4</v>
      </c>
      <c r="H135" s="67"/>
      <c r="I135" s="67"/>
      <c r="J135" s="67"/>
      <c r="K135" s="67"/>
      <c r="L135" s="67"/>
      <c r="M135" s="67"/>
    </row>
    <row r="136" spans="1:13" x14ac:dyDescent="0.25">
      <c r="A136" s="86"/>
      <c r="B136" s="87"/>
      <c r="C136" s="62"/>
      <c r="D136" s="67"/>
      <c r="E136" s="69"/>
      <c r="F136" s="46" t="s">
        <v>91</v>
      </c>
      <c r="G136" s="46">
        <v>3</v>
      </c>
      <c r="H136" s="67"/>
      <c r="I136" s="67"/>
      <c r="J136" s="67"/>
      <c r="K136" s="67"/>
      <c r="L136" s="67"/>
      <c r="M136" s="67"/>
    </row>
    <row r="137" spans="1:13" x14ac:dyDescent="0.25">
      <c r="A137" s="86"/>
      <c r="B137" s="87"/>
      <c r="C137" s="62"/>
      <c r="D137" s="67"/>
      <c r="E137" s="69"/>
      <c r="F137" s="46" t="s">
        <v>92</v>
      </c>
      <c r="G137" s="46">
        <v>2</v>
      </c>
      <c r="H137" s="67"/>
      <c r="I137" s="67"/>
      <c r="J137" s="67"/>
      <c r="K137" s="67"/>
      <c r="L137" s="67"/>
      <c r="M137" s="67"/>
    </row>
    <row r="138" spans="1:13" x14ac:dyDescent="0.25">
      <c r="A138" s="86"/>
      <c r="B138" s="87"/>
      <c r="C138" s="62"/>
      <c r="D138" s="67"/>
      <c r="E138" s="69"/>
      <c r="F138" s="46" t="s">
        <v>93</v>
      </c>
      <c r="G138" s="46">
        <v>1</v>
      </c>
      <c r="H138" s="67"/>
      <c r="I138" s="67"/>
      <c r="J138" s="67"/>
      <c r="K138" s="67"/>
      <c r="L138" s="67"/>
      <c r="M138" s="67"/>
    </row>
    <row r="139" spans="1:13" x14ac:dyDescent="0.25">
      <c r="A139" s="86"/>
      <c r="B139" s="87"/>
      <c r="C139" s="62"/>
      <c r="D139" s="67"/>
      <c r="E139" s="69"/>
      <c r="F139" s="46" t="s">
        <v>94</v>
      </c>
      <c r="G139" s="46">
        <v>0</v>
      </c>
      <c r="H139" s="68"/>
      <c r="I139" s="68"/>
      <c r="J139" s="68"/>
      <c r="K139" s="68"/>
      <c r="L139" s="68"/>
      <c r="M139" s="68"/>
    </row>
    <row r="140" spans="1:13" x14ac:dyDescent="0.25">
      <c r="A140" s="86"/>
      <c r="B140" s="87"/>
      <c r="C140" s="62">
        <v>18</v>
      </c>
      <c r="D140" s="67"/>
      <c r="E140" s="69" t="s">
        <v>87</v>
      </c>
      <c r="F140" s="46" t="s">
        <v>89</v>
      </c>
      <c r="G140" s="46">
        <v>5</v>
      </c>
      <c r="H140" s="66">
        <v>3</v>
      </c>
      <c r="I140" s="66">
        <v>3</v>
      </c>
      <c r="J140" s="66">
        <v>4</v>
      </c>
      <c r="K140" s="66"/>
      <c r="L140" s="66"/>
      <c r="M140" s="66"/>
    </row>
    <row r="141" spans="1:13" x14ac:dyDescent="0.25">
      <c r="A141" s="86"/>
      <c r="B141" s="87"/>
      <c r="C141" s="62"/>
      <c r="D141" s="67"/>
      <c r="E141" s="69"/>
      <c r="F141" s="46" t="s">
        <v>90</v>
      </c>
      <c r="G141" s="46">
        <v>4</v>
      </c>
      <c r="H141" s="67"/>
      <c r="I141" s="67"/>
      <c r="J141" s="67"/>
      <c r="K141" s="67"/>
      <c r="L141" s="67"/>
      <c r="M141" s="67"/>
    </row>
    <row r="142" spans="1:13" x14ac:dyDescent="0.25">
      <c r="A142" s="86"/>
      <c r="B142" s="87"/>
      <c r="C142" s="62"/>
      <c r="D142" s="67"/>
      <c r="E142" s="69"/>
      <c r="F142" s="46" t="s">
        <v>91</v>
      </c>
      <c r="G142" s="46">
        <v>3</v>
      </c>
      <c r="H142" s="67"/>
      <c r="I142" s="67"/>
      <c r="J142" s="67"/>
      <c r="K142" s="67"/>
      <c r="L142" s="67"/>
      <c r="M142" s="67"/>
    </row>
    <row r="143" spans="1:13" x14ac:dyDescent="0.25">
      <c r="A143" s="86"/>
      <c r="B143" s="87"/>
      <c r="C143" s="62"/>
      <c r="D143" s="67"/>
      <c r="E143" s="69"/>
      <c r="F143" s="46" t="s">
        <v>92</v>
      </c>
      <c r="G143" s="46">
        <v>2</v>
      </c>
      <c r="H143" s="67"/>
      <c r="I143" s="67"/>
      <c r="J143" s="67"/>
      <c r="K143" s="67"/>
      <c r="L143" s="67"/>
      <c r="M143" s="67"/>
    </row>
    <row r="144" spans="1:13" x14ac:dyDescent="0.25">
      <c r="A144" s="86"/>
      <c r="B144" s="87"/>
      <c r="C144" s="62"/>
      <c r="D144" s="67"/>
      <c r="E144" s="69"/>
      <c r="F144" s="46" t="s">
        <v>93</v>
      </c>
      <c r="G144" s="46">
        <v>1</v>
      </c>
      <c r="H144" s="67"/>
      <c r="I144" s="67"/>
      <c r="J144" s="67"/>
      <c r="K144" s="67"/>
      <c r="L144" s="67"/>
      <c r="M144" s="67"/>
    </row>
    <row r="145" spans="1:13" x14ac:dyDescent="0.25">
      <c r="A145" s="86"/>
      <c r="B145" s="87"/>
      <c r="C145" s="62"/>
      <c r="D145" s="67"/>
      <c r="E145" s="69"/>
      <c r="F145" s="46" t="s">
        <v>94</v>
      </c>
      <c r="G145" s="46">
        <v>0</v>
      </c>
      <c r="H145" s="68"/>
      <c r="I145" s="68"/>
      <c r="J145" s="68"/>
      <c r="K145" s="68"/>
      <c r="L145" s="68"/>
      <c r="M145" s="68"/>
    </row>
    <row r="146" spans="1:13" x14ac:dyDescent="0.25">
      <c r="C146" s="45"/>
      <c r="D146" s="45"/>
      <c r="E146" s="32" t="s">
        <v>60</v>
      </c>
      <c r="F146" s="45"/>
      <c r="G146" s="46">
        <v>100</v>
      </c>
      <c r="H146" s="45">
        <f>SUM(H50:H145)</f>
        <v>75</v>
      </c>
      <c r="I146" s="45">
        <f t="shared" ref="I146:M146" si="1">SUM(I50:I145)</f>
        <v>76</v>
      </c>
      <c r="J146" s="45">
        <f t="shared" si="1"/>
        <v>77</v>
      </c>
      <c r="K146" s="45">
        <f t="shared" si="1"/>
        <v>0</v>
      </c>
      <c r="L146" s="45">
        <f t="shared" si="1"/>
        <v>0</v>
      </c>
      <c r="M146" s="45">
        <f t="shared" si="1"/>
        <v>0</v>
      </c>
    </row>
    <row r="147" spans="1:13" x14ac:dyDescent="0.25">
      <c r="C147" s="45"/>
      <c r="D147" s="45"/>
      <c r="E147" s="32" t="s">
        <v>62</v>
      </c>
      <c r="F147" s="45"/>
      <c r="G147" s="45"/>
      <c r="H147" s="45">
        <f>H146/100</f>
        <v>0.75</v>
      </c>
      <c r="I147" s="45">
        <f t="shared" ref="I147:M147" si="2">I146/100</f>
        <v>0.76</v>
      </c>
      <c r="J147" s="45">
        <f t="shared" si="2"/>
        <v>0.77</v>
      </c>
      <c r="K147" s="45">
        <f t="shared" si="2"/>
        <v>0</v>
      </c>
      <c r="L147" s="45">
        <f t="shared" si="2"/>
        <v>0</v>
      </c>
      <c r="M147" s="45">
        <f t="shared" si="2"/>
        <v>0</v>
      </c>
    </row>
    <row r="148" spans="1:13" x14ac:dyDescent="0.25">
      <c r="C148" s="45"/>
      <c r="D148" s="45"/>
      <c r="E148" s="33" t="s">
        <v>61</v>
      </c>
      <c r="F148" s="45"/>
      <c r="G148" s="45"/>
      <c r="H148" s="45"/>
      <c r="I148" s="45"/>
      <c r="J148" s="45"/>
      <c r="K148" s="45"/>
      <c r="L148" s="45"/>
      <c r="M148" s="45"/>
    </row>
    <row r="149" spans="1:13" x14ac:dyDescent="0.25">
      <c r="E149" s="60" t="s">
        <v>115</v>
      </c>
      <c r="F149" s="61"/>
      <c r="G149" s="61"/>
      <c r="H149" s="61">
        <f t="shared" ref="H149:M149" si="3">(40%*H43)+(60%*H146)</f>
        <v>81</v>
      </c>
      <c r="I149" s="61">
        <f t="shared" si="3"/>
        <v>85.6</v>
      </c>
      <c r="J149" s="61">
        <f t="shared" si="3"/>
        <v>86.199999999999989</v>
      </c>
      <c r="K149" s="61">
        <f t="shared" si="3"/>
        <v>0</v>
      </c>
      <c r="L149" s="61">
        <f t="shared" si="3"/>
        <v>0</v>
      </c>
      <c r="M149" s="61">
        <f t="shared" si="3"/>
        <v>0</v>
      </c>
    </row>
    <row r="150" spans="1:13" x14ac:dyDescent="0.25">
      <c r="E150" s="53"/>
    </row>
    <row r="151" spans="1:13" x14ac:dyDescent="0.25">
      <c r="E151" s="53"/>
    </row>
    <row r="152" spans="1:13" x14ac:dyDescent="0.25">
      <c r="E152" s="53"/>
    </row>
    <row r="153" spans="1:13" x14ac:dyDescent="0.25">
      <c r="E153" s="63" t="s">
        <v>63</v>
      </c>
      <c r="F153" s="64"/>
      <c r="G153" s="64"/>
      <c r="H153" s="65"/>
    </row>
    <row r="154" spans="1:13" x14ac:dyDescent="0.25">
      <c r="E154" s="77" t="s">
        <v>64</v>
      </c>
      <c r="F154" s="34" t="s">
        <v>65</v>
      </c>
      <c r="G154" s="82">
        <v>5</v>
      </c>
      <c r="H154" s="83"/>
    </row>
    <row r="155" spans="1:13" x14ac:dyDescent="0.25">
      <c r="E155" s="78"/>
      <c r="F155" s="34" t="s">
        <v>66</v>
      </c>
      <c r="G155" s="82">
        <v>4</v>
      </c>
      <c r="H155" s="83"/>
    </row>
    <row r="156" spans="1:13" x14ac:dyDescent="0.25">
      <c r="E156" s="78"/>
      <c r="F156" s="34" t="s">
        <v>67</v>
      </c>
      <c r="G156" s="82">
        <v>3</v>
      </c>
      <c r="H156" s="83"/>
    </row>
    <row r="157" spans="1:13" x14ac:dyDescent="0.25">
      <c r="E157" s="78"/>
      <c r="F157" s="34" t="s">
        <v>68</v>
      </c>
      <c r="G157" s="82">
        <v>2</v>
      </c>
      <c r="H157" s="83"/>
    </row>
    <row r="158" spans="1:13" x14ac:dyDescent="0.25">
      <c r="E158" s="79"/>
      <c r="F158" s="34" t="s">
        <v>69</v>
      </c>
      <c r="G158" s="82">
        <v>1</v>
      </c>
      <c r="H158" s="83"/>
    </row>
    <row r="159" spans="1:13" x14ac:dyDescent="0.25">
      <c r="E159" s="73"/>
      <c r="F159" s="74"/>
      <c r="G159" s="74"/>
      <c r="H159" s="75"/>
    </row>
    <row r="160" spans="1:13" x14ac:dyDescent="0.25">
      <c r="E160" s="77" t="s">
        <v>70</v>
      </c>
      <c r="F160" s="35" t="s">
        <v>65</v>
      </c>
      <c r="G160" s="80" t="s">
        <v>71</v>
      </c>
      <c r="H160" s="81"/>
    </row>
    <row r="161" spans="5:8" x14ac:dyDescent="0.25">
      <c r="E161" s="78"/>
      <c r="F161" s="35" t="s">
        <v>66</v>
      </c>
      <c r="G161" s="82" t="s">
        <v>72</v>
      </c>
      <c r="H161" s="83"/>
    </row>
    <row r="162" spans="5:8" x14ac:dyDescent="0.25">
      <c r="E162" s="78"/>
      <c r="F162" s="35" t="s">
        <v>73</v>
      </c>
      <c r="G162" s="82" t="s">
        <v>74</v>
      </c>
      <c r="H162" s="83"/>
    </row>
    <row r="163" spans="5:8" x14ac:dyDescent="0.25">
      <c r="E163" s="78"/>
      <c r="F163" s="35" t="s">
        <v>68</v>
      </c>
      <c r="G163" s="82" t="s">
        <v>75</v>
      </c>
      <c r="H163" s="83"/>
    </row>
    <row r="164" spans="5:8" x14ac:dyDescent="0.25">
      <c r="E164" s="79"/>
      <c r="F164" s="35" t="s">
        <v>69</v>
      </c>
      <c r="G164" s="82" t="s">
        <v>76</v>
      </c>
      <c r="H164" s="83"/>
    </row>
  </sheetData>
  <mergeCells count="254">
    <mergeCell ref="A1:M4"/>
    <mergeCell ref="A5:M5"/>
    <mergeCell ref="A6:M6"/>
    <mergeCell ref="A7:M7"/>
    <mergeCell ref="B8:D8"/>
    <mergeCell ref="E8:M8"/>
    <mergeCell ref="B12:D12"/>
    <mergeCell ref="E12:M12"/>
    <mergeCell ref="B13:D13"/>
    <mergeCell ref="E13:M13"/>
    <mergeCell ref="A14:M14"/>
    <mergeCell ref="A15:B15"/>
    <mergeCell ref="D15:E15"/>
    <mergeCell ref="B9:D9"/>
    <mergeCell ref="E9:M9"/>
    <mergeCell ref="B10:D10"/>
    <mergeCell ref="E10:M10"/>
    <mergeCell ref="B11:D11"/>
    <mergeCell ref="E11:M11"/>
    <mergeCell ref="A16:B16"/>
    <mergeCell ref="A18:B18"/>
    <mergeCell ref="A19:A24"/>
    <mergeCell ref="B19:B21"/>
    <mergeCell ref="C19:C21"/>
    <mergeCell ref="D19:D21"/>
    <mergeCell ref="B22:B24"/>
    <mergeCell ref="C22:C24"/>
    <mergeCell ref="D22:D24"/>
    <mergeCell ref="K22:K24"/>
    <mergeCell ref="L22:L24"/>
    <mergeCell ref="M22:M24"/>
    <mergeCell ref="H19:H21"/>
    <mergeCell ref="I19:I21"/>
    <mergeCell ref="J19:J21"/>
    <mergeCell ref="K19:K21"/>
    <mergeCell ref="L19:L21"/>
    <mergeCell ref="M19:M21"/>
    <mergeCell ref="A25:B25"/>
    <mergeCell ref="A26:A28"/>
    <mergeCell ref="B26:B28"/>
    <mergeCell ref="C26:C28"/>
    <mergeCell ref="D26:D28"/>
    <mergeCell ref="H26:H28"/>
    <mergeCell ref="H22:H24"/>
    <mergeCell ref="I22:I24"/>
    <mergeCell ref="J22:J24"/>
    <mergeCell ref="I26:I28"/>
    <mergeCell ref="J26:J28"/>
    <mergeCell ref="K26:K28"/>
    <mergeCell ref="L26:L28"/>
    <mergeCell ref="M26:M28"/>
    <mergeCell ref="A30:A32"/>
    <mergeCell ref="B30:B32"/>
    <mergeCell ref="C30:C32"/>
    <mergeCell ref="D30:D32"/>
    <mergeCell ref="H30:H32"/>
    <mergeCell ref="I30:I32"/>
    <mergeCell ref="J30:J32"/>
    <mergeCell ref="K30:K32"/>
    <mergeCell ref="L30:L32"/>
    <mergeCell ref="M30:M32"/>
    <mergeCell ref="B34:B36"/>
    <mergeCell ref="C34:C36"/>
    <mergeCell ref="D34:D36"/>
    <mergeCell ref="H34:H36"/>
    <mergeCell ref="I34:I36"/>
    <mergeCell ref="J34:J36"/>
    <mergeCell ref="K34:K36"/>
    <mergeCell ref="L34:L36"/>
    <mergeCell ref="M34:M36"/>
    <mergeCell ref="A37:A42"/>
    <mergeCell ref="B37:B39"/>
    <mergeCell ref="C37:C39"/>
    <mergeCell ref="D37:D39"/>
    <mergeCell ref="H37:H39"/>
    <mergeCell ref="I37:I39"/>
    <mergeCell ref="K40:K42"/>
    <mergeCell ref="L40:L42"/>
    <mergeCell ref="M40:M42"/>
    <mergeCell ref="A43:G43"/>
    <mergeCell ref="A44:G44"/>
    <mergeCell ref="A45:M46"/>
    <mergeCell ref="J37:J39"/>
    <mergeCell ref="K37:K39"/>
    <mergeCell ref="L37:L39"/>
    <mergeCell ref="M37:M39"/>
    <mergeCell ref="B40:B42"/>
    <mergeCell ref="C40:C42"/>
    <mergeCell ref="D40:D42"/>
    <mergeCell ref="H40:H42"/>
    <mergeCell ref="I40:I42"/>
    <mergeCell ref="J40:J42"/>
    <mergeCell ref="A47:B145"/>
    <mergeCell ref="C50:C51"/>
    <mergeCell ref="D50:D56"/>
    <mergeCell ref="E50:E51"/>
    <mergeCell ref="H50:H51"/>
    <mergeCell ref="I50:I51"/>
    <mergeCell ref="C58:C63"/>
    <mergeCell ref="D58:D120"/>
    <mergeCell ref="E58:E63"/>
    <mergeCell ref="H58:H63"/>
    <mergeCell ref="J50:J51"/>
    <mergeCell ref="K50:K51"/>
    <mergeCell ref="L50:L51"/>
    <mergeCell ref="M50:M51"/>
    <mergeCell ref="C52:C53"/>
    <mergeCell ref="E52:E53"/>
    <mergeCell ref="H52:H53"/>
    <mergeCell ref="I52:I53"/>
    <mergeCell ref="J52:J53"/>
    <mergeCell ref="K52:K53"/>
    <mergeCell ref="L52:L53"/>
    <mergeCell ref="M52:M53"/>
    <mergeCell ref="C54:C56"/>
    <mergeCell ref="E54:E56"/>
    <mergeCell ref="H54:H56"/>
    <mergeCell ref="I54:I56"/>
    <mergeCell ref="J54:J56"/>
    <mergeCell ref="K54:K56"/>
    <mergeCell ref="L54:L56"/>
    <mergeCell ref="M54:M56"/>
    <mergeCell ref="I58:I63"/>
    <mergeCell ref="J58:J63"/>
    <mergeCell ref="K58:K63"/>
    <mergeCell ref="L58:L63"/>
    <mergeCell ref="M58:M63"/>
    <mergeCell ref="C64:C69"/>
    <mergeCell ref="E64:E69"/>
    <mergeCell ref="H64:H69"/>
    <mergeCell ref="I64:I69"/>
    <mergeCell ref="J64:J69"/>
    <mergeCell ref="K64:K69"/>
    <mergeCell ref="L64:L69"/>
    <mergeCell ref="M64:M69"/>
    <mergeCell ref="C70:C75"/>
    <mergeCell ref="E70:E75"/>
    <mergeCell ref="H70:H75"/>
    <mergeCell ref="I70:I75"/>
    <mergeCell ref="J70:J75"/>
    <mergeCell ref="K70:K75"/>
    <mergeCell ref="L70:L75"/>
    <mergeCell ref="M70:M75"/>
    <mergeCell ref="C76:C81"/>
    <mergeCell ref="E76:E81"/>
    <mergeCell ref="H76:H81"/>
    <mergeCell ref="I76:I81"/>
    <mergeCell ref="J76:J81"/>
    <mergeCell ref="K76:K81"/>
    <mergeCell ref="L76:L81"/>
    <mergeCell ref="M76:M81"/>
    <mergeCell ref="L82:L87"/>
    <mergeCell ref="M82:M87"/>
    <mergeCell ref="C88:C93"/>
    <mergeCell ref="E88:E93"/>
    <mergeCell ref="H88:H93"/>
    <mergeCell ref="I88:I93"/>
    <mergeCell ref="J88:J93"/>
    <mergeCell ref="K88:K93"/>
    <mergeCell ref="L88:L93"/>
    <mergeCell ref="M88:M93"/>
    <mergeCell ref="C82:C87"/>
    <mergeCell ref="E82:E87"/>
    <mergeCell ref="H82:H87"/>
    <mergeCell ref="I82:I87"/>
    <mergeCell ref="J82:J87"/>
    <mergeCell ref="K82:K87"/>
    <mergeCell ref="L94:L99"/>
    <mergeCell ref="M94:M99"/>
    <mergeCell ref="C100:C105"/>
    <mergeCell ref="E100:E105"/>
    <mergeCell ref="H100:H105"/>
    <mergeCell ref="I100:I105"/>
    <mergeCell ref="J100:J105"/>
    <mergeCell ref="K100:K105"/>
    <mergeCell ref="L100:L105"/>
    <mergeCell ref="M100:M105"/>
    <mergeCell ref="C94:C99"/>
    <mergeCell ref="E94:E99"/>
    <mergeCell ref="H94:H99"/>
    <mergeCell ref="I94:I99"/>
    <mergeCell ref="J94:J99"/>
    <mergeCell ref="K94:K99"/>
    <mergeCell ref="L106:L111"/>
    <mergeCell ref="M106:M111"/>
    <mergeCell ref="C112:C117"/>
    <mergeCell ref="E112:E117"/>
    <mergeCell ref="H112:H117"/>
    <mergeCell ref="I112:I117"/>
    <mergeCell ref="J112:J117"/>
    <mergeCell ref="K112:K117"/>
    <mergeCell ref="L112:L117"/>
    <mergeCell ref="M112:M117"/>
    <mergeCell ref="C106:C111"/>
    <mergeCell ref="E106:E111"/>
    <mergeCell ref="H106:H111"/>
    <mergeCell ref="I106:I111"/>
    <mergeCell ref="J106:J111"/>
    <mergeCell ref="K106:K111"/>
    <mergeCell ref="L118:L120"/>
    <mergeCell ref="M118:M120"/>
    <mergeCell ref="C122:C127"/>
    <mergeCell ref="D122:D145"/>
    <mergeCell ref="E122:E127"/>
    <mergeCell ref="H122:H127"/>
    <mergeCell ref="I122:I127"/>
    <mergeCell ref="J122:J127"/>
    <mergeCell ref="K122:K127"/>
    <mergeCell ref="L122:L127"/>
    <mergeCell ref="C118:C120"/>
    <mergeCell ref="E118:E120"/>
    <mergeCell ref="H118:H120"/>
    <mergeCell ref="I118:I120"/>
    <mergeCell ref="J118:J120"/>
    <mergeCell ref="K118:K120"/>
    <mergeCell ref="M122:M127"/>
    <mergeCell ref="C128:C133"/>
    <mergeCell ref="E128:E133"/>
    <mergeCell ref="H128:H133"/>
    <mergeCell ref="I128:I133"/>
    <mergeCell ref="J128:J133"/>
    <mergeCell ref="K128:K133"/>
    <mergeCell ref="L128:L133"/>
    <mergeCell ref="M128:M133"/>
    <mergeCell ref="L134:L139"/>
    <mergeCell ref="M134:M139"/>
    <mergeCell ref="C140:C145"/>
    <mergeCell ref="E140:E145"/>
    <mergeCell ref="H140:H145"/>
    <mergeCell ref="I140:I145"/>
    <mergeCell ref="J140:J145"/>
    <mergeCell ref="K140:K145"/>
    <mergeCell ref="L140:L145"/>
    <mergeCell ref="M140:M145"/>
    <mergeCell ref="C134:C139"/>
    <mergeCell ref="E134:E139"/>
    <mergeCell ref="H134:H139"/>
    <mergeCell ref="I134:I139"/>
    <mergeCell ref="J134:J139"/>
    <mergeCell ref="K134:K139"/>
    <mergeCell ref="E159:H159"/>
    <mergeCell ref="E160:E164"/>
    <mergeCell ref="G160:H160"/>
    <mergeCell ref="G161:H161"/>
    <mergeCell ref="G162:H162"/>
    <mergeCell ref="G163:H163"/>
    <mergeCell ref="G164:H164"/>
    <mergeCell ref="E153:H153"/>
    <mergeCell ref="E154:E158"/>
    <mergeCell ref="G154:H154"/>
    <mergeCell ref="G155:H155"/>
    <mergeCell ref="G156:H156"/>
    <mergeCell ref="G157:H157"/>
    <mergeCell ref="G158:H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Penunjang - SEMESTER 1 2024</vt:lpstr>
      <vt:lpstr>Penunjang - SEMESTER 2 2024</vt:lpstr>
      <vt:lpstr>Penunjang - SEMESTER 1 2025</vt:lpstr>
      <vt:lpstr>Pelayanan Med - SEMESTER 1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2024-03-15T06:43:04Z</dcterms:created>
  <dcterms:modified xsi:type="dcterms:W3CDTF">2025-04-28T09:00:58Z</dcterms:modified>
</cp:coreProperties>
</file>