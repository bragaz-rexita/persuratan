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TARIF 2024\Pengajuan tarif Khusus MCU 2024 05\"/>
    </mc:Choice>
  </mc:AlternateContent>
  <xr:revisionPtr revIDLastSave="0" documentId="13_ncr:1_{454F373D-3621-4496-B8D1-C6D250122224}" xr6:coauthVersionLast="47" xr6:coauthVersionMax="47" xr10:uidLastSave="{00000000-0000-0000-0000-000000000000}"/>
  <bookViews>
    <workbookView xWindow="-120" yWindow="-120" windowWidth="29040" windowHeight="15840" activeTab="2" xr2:uid="{FF760FD2-3914-4C06-B383-485B962C9BAC}"/>
  </bookViews>
  <sheets>
    <sheet name="LIST PEMERIKSAAN" sheetId="1" r:id="rId1"/>
    <sheet name="tarif Edukasi dan Oncall" sheetId="3" r:id="rId2"/>
    <sheet name="BMHP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2" l="1"/>
  <c r="F51" i="2"/>
  <c r="G138" i="2" l="1"/>
  <c r="G134" i="2"/>
  <c r="G136" i="2"/>
  <c r="F137" i="2"/>
  <c r="G137" i="2" s="1"/>
  <c r="F120" i="2" l="1"/>
  <c r="F126" i="2"/>
  <c r="G125" i="2"/>
  <c r="G124" i="2"/>
  <c r="G123" i="2"/>
  <c r="G122" i="2"/>
  <c r="G126" i="2" l="1"/>
  <c r="G119" i="2"/>
  <c r="G118" i="2"/>
  <c r="G117" i="2"/>
  <c r="G21" i="2"/>
  <c r="F108" i="2"/>
  <c r="G107" i="2"/>
  <c r="G106" i="2"/>
  <c r="F104" i="2"/>
  <c r="G103" i="2"/>
  <c r="G102" i="2"/>
  <c r="F100" i="2"/>
  <c r="G99" i="2"/>
  <c r="G98" i="2"/>
  <c r="G97" i="2"/>
  <c r="F95" i="2"/>
  <c r="G94" i="2"/>
  <c r="G93" i="2"/>
  <c r="G92" i="2"/>
  <c r="F90" i="2"/>
  <c r="G89" i="2"/>
  <c r="G88" i="2"/>
  <c r="G87" i="2"/>
  <c r="F85" i="2"/>
  <c r="G84" i="2"/>
  <c r="G83" i="2"/>
  <c r="G82" i="2"/>
  <c r="G81" i="2"/>
  <c r="F79" i="2"/>
  <c r="G78" i="2"/>
  <c r="G77" i="2"/>
  <c r="G76" i="2"/>
  <c r="G75" i="2"/>
  <c r="G74" i="2"/>
  <c r="F72" i="2"/>
  <c r="G71" i="2"/>
  <c r="G70" i="2"/>
  <c r="G69" i="2"/>
  <c r="G68" i="2"/>
  <c r="G67" i="2"/>
  <c r="F65" i="2"/>
  <c r="G64" i="2"/>
  <c r="G63" i="2"/>
  <c r="G62" i="2"/>
  <c r="G61" i="2"/>
  <c r="G60" i="2"/>
  <c r="F58" i="2"/>
  <c r="G57" i="2"/>
  <c r="G56" i="2"/>
  <c r="G55" i="2"/>
  <c r="G54" i="2"/>
  <c r="G53" i="2"/>
  <c r="G48" i="2"/>
  <c r="G50" i="2"/>
  <c r="G47" i="2" l="1"/>
  <c r="G46" i="2" l="1"/>
  <c r="G45" i="2"/>
  <c r="F37" i="2"/>
  <c r="G33" i="2"/>
  <c r="G34" i="2"/>
  <c r="G35" i="2"/>
  <c r="G36" i="2"/>
  <c r="G26" i="2"/>
  <c r="G27" i="2"/>
  <c r="G28" i="2"/>
  <c r="G29" i="2"/>
  <c r="F43" i="2" l="1"/>
  <c r="G42" i="2"/>
  <c r="G41" i="2"/>
  <c r="G40" i="2"/>
  <c r="G39" i="2"/>
  <c r="F23" i="2"/>
  <c r="G22" i="2"/>
  <c r="G20" i="2"/>
  <c r="G113" i="2"/>
  <c r="G144" i="2"/>
  <c r="G142" i="2"/>
  <c r="G140" i="2"/>
  <c r="F132" i="2"/>
  <c r="G131" i="2"/>
  <c r="G130" i="2"/>
  <c r="G129" i="2"/>
  <c r="F128" i="2"/>
  <c r="G127" i="2"/>
  <c r="F116" i="2"/>
  <c r="G115" i="2"/>
  <c r="G112" i="2"/>
  <c r="G111" i="2"/>
  <c r="G32" i="2"/>
  <c r="F30" i="2"/>
  <c r="G25" i="2"/>
  <c r="G132" i="2" l="1"/>
  <c r="G145" i="2"/>
  <c r="F110" i="2"/>
  <c r="F18" i="2"/>
</calcChain>
</file>

<file path=xl/sharedStrings.xml><?xml version="1.0" encoding="utf-8"?>
<sst xmlns="http://schemas.openxmlformats.org/spreadsheetml/2006/main" count="229" uniqueCount="161">
  <si>
    <t>REVIEW HARGA PEMERIKSAAN UNTUK MCU</t>
  </si>
  <si>
    <t>NO</t>
  </si>
  <si>
    <t>NAMA PEMERIKSAAN</t>
  </si>
  <si>
    <t>HARGA</t>
  </si>
  <si>
    <t>LOW</t>
  </si>
  <si>
    <t>MID</t>
  </si>
  <si>
    <t>NORMAL</t>
  </si>
  <si>
    <t>Darah Lengkap</t>
  </si>
  <si>
    <t>Urin Lengkap</t>
  </si>
  <si>
    <t>Asam Urat</t>
  </si>
  <si>
    <t>Rontgen Thorax PA</t>
  </si>
  <si>
    <t>Audiometri</t>
  </si>
  <si>
    <t>Spirometri</t>
  </si>
  <si>
    <t>Pemeriksaan Dokter Umum</t>
  </si>
  <si>
    <t>EKG</t>
  </si>
  <si>
    <t>Creatinin</t>
  </si>
  <si>
    <t>Trigliserida</t>
  </si>
  <si>
    <t>SGOT</t>
  </si>
  <si>
    <t>SGPT</t>
  </si>
  <si>
    <t>Amphetamine</t>
  </si>
  <si>
    <t>Mepthamphetamine</t>
  </si>
  <si>
    <t>Cocain</t>
  </si>
  <si>
    <t>Cholesterol total</t>
  </si>
  <si>
    <t>Urea</t>
  </si>
  <si>
    <t>HBSAg Kualitatif</t>
  </si>
  <si>
    <r>
      <t>Form Perhitungan Tarif MCU (</t>
    </r>
    <r>
      <rPr>
        <b/>
        <i/>
        <sz val="11"/>
        <color theme="1"/>
        <rFont val="Arial"/>
        <family val="2"/>
      </rPr>
      <t>Medical Check Up</t>
    </r>
    <r>
      <rPr>
        <b/>
        <sz val="11"/>
        <color theme="1"/>
        <rFont val="Arial"/>
        <family val="2"/>
      </rPr>
      <t>)</t>
    </r>
  </si>
  <si>
    <t>A</t>
  </si>
  <si>
    <t>Nama Perusahaan</t>
  </si>
  <si>
    <t xml:space="preserve">: </t>
  </si>
  <si>
    <t>B</t>
  </si>
  <si>
    <t>Periode</t>
  </si>
  <si>
    <t>C</t>
  </si>
  <si>
    <t xml:space="preserve">Tempat dan Alamat </t>
  </si>
  <si>
    <t>D</t>
  </si>
  <si>
    <t>Jadwal Pelaksanaan</t>
  </si>
  <si>
    <t>E</t>
  </si>
  <si>
    <t>Tanggal dan Jam</t>
  </si>
  <si>
    <t>F</t>
  </si>
  <si>
    <t>Transportasi ke Lokasi</t>
  </si>
  <si>
    <t>G</t>
  </si>
  <si>
    <t>Tarif</t>
  </si>
  <si>
    <t>H</t>
  </si>
  <si>
    <t>Jumlah Peserta</t>
  </si>
  <si>
    <t>I</t>
  </si>
  <si>
    <t>Cara Pembayaran</t>
  </si>
  <si>
    <t>: Tagihan jatuh tempo 14 hari dari pengiriman tagihan</t>
  </si>
  <si>
    <t>J</t>
  </si>
  <si>
    <t>No. Surat Kesepakatan</t>
  </si>
  <si>
    <t>: 0000000000000</t>
  </si>
  <si>
    <t>Dengan perhitungan sebagai berikut :</t>
  </si>
  <si>
    <t>JENIS PEMERIKSAAN</t>
  </si>
  <si>
    <t>PEMERIKSAAN</t>
  </si>
  <si>
    <t>BMHP YANG DIGUNAKAN</t>
  </si>
  <si>
    <t>JML PESERTA</t>
  </si>
  <si>
    <t>HARGA SATUAN</t>
  </si>
  <si>
    <t>TOTAL</t>
  </si>
  <si>
    <t>PENDAPATAN</t>
  </si>
  <si>
    <t>TARIF TINDAKAN</t>
  </si>
  <si>
    <t>TOTAL PENDAPATAN</t>
  </si>
  <si>
    <t>LABORATORIUM</t>
  </si>
  <si>
    <t>TABUNG UNGU</t>
  </si>
  <si>
    <t>HbsAg Kualitatif</t>
  </si>
  <si>
    <t xml:space="preserve">REAGEN HBSAG </t>
  </si>
  <si>
    <t>KERTAS ECG 80 MM X25 M / cm</t>
  </si>
  <si>
    <t>Map ECG</t>
  </si>
  <si>
    <t>Handscoon steril no 7,5</t>
  </si>
  <si>
    <t>GELL ECG (ml)</t>
  </si>
  <si>
    <t>TOTAL BMHP PEMERIKSAAN LAB</t>
  </si>
  <si>
    <t>RADIOLOGI</t>
  </si>
  <si>
    <t>Thorax</t>
  </si>
  <si>
    <t>FILM RADIOLOGI 21X30 CM</t>
  </si>
  <si>
    <t>Kertas Bacaan</t>
  </si>
  <si>
    <t>SEWA ALAT Mobile X-ray</t>
  </si>
  <si>
    <t>FEE BACAAN DOKTER</t>
  </si>
  <si>
    <t>TOTAL BMHP PEMERIKSAAN FOTO THORAX</t>
  </si>
  <si>
    <t>TINDAKAN</t>
  </si>
  <si>
    <t>TOTAL BMHP PEMERIKSAAN AUDIOMETRI</t>
  </si>
  <si>
    <t>FEE DU</t>
  </si>
  <si>
    <t xml:space="preserve">HANDSCOON NON STERIL UK. L </t>
  </si>
  <si>
    <t>MASKER KARET (EAR LOOP)</t>
  </si>
  <si>
    <t>TOTAL BMHP PEMERIKSAAN FISIK</t>
  </si>
  <si>
    <t>*</t>
  </si>
  <si>
    <t>TOTAL HPP</t>
  </si>
  <si>
    <t>FEE/CN PERUSAHAAN</t>
  </si>
  <si>
    <t>HASIL</t>
  </si>
  <si>
    <t>MAP</t>
  </si>
  <si>
    <t>KERTAS</t>
  </si>
  <si>
    <t>ADMINISTRASI</t>
  </si>
  <si>
    <t>KONSUMSI TIM</t>
  </si>
  <si>
    <t>TRANSPORTASI</t>
  </si>
  <si>
    <t>SOLAR</t>
  </si>
  <si>
    <t>TOTAL PENGELUARAN</t>
  </si>
  <si>
    <t>SELISIH PENDAPATAN DAN PENGELUARAN</t>
  </si>
  <si>
    <t>PROSENTASE MARGIN</t>
  </si>
  <si>
    <t>Anti HIV ICT</t>
  </si>
  <si>
    <t>Pemeriksaan fisik</t>
  </si>
  <si>
    <t>Urine Lengkap</t>
  </si>
  <si>
    <t xml:space="preserve">alkohol swab </t>
  </si>
  <si>
    <t>plesterin</t>
  </si>
  <si>
    <t>spuit terumo 3 cc</t>
  </si>
  <si>
    <t>NEEDLE/JARUM 26</t>
  </si>
  <si>
    <t xml:space="preserve">harga reagen per test </t>
  </si>
  <si>
    <t xml:space="preserve">POT URINE </t>
  </si>
  <si>
    <t>STIK URINE</t>
  </si>
  <si>
    <t>OBJECK GLASS</t>
  </si>
  <si>
    <t>COVER GLASS</t>
  </si>
  <si>
    <t>YELLOW TIP</t>
  </si>
  <si>
    <t>EKG / ECG</t>
  </si>
  <si>
    <t>Gula darah Puasa</t>
  </si>
  <si>
    <t>REAGEN GLUKOSA</t>
  </si>
  <si>
    <t>BLUE TIP</t>
  </si>
  <si>
    <t>PLESTERIN</t>
  </si>
  <si>
    <t>ALKOHOL SWAB</t>
  </si>
  <si>
    <t>Gula Darah Puasa</t>
  </si>
  <si>
    <t>Cholesterol Total</t>
  </si>
  <si>
    <t>Uric Acid (Asam Urat)</t>
  </si>
  <si>
    <t>REAGEN SGOT</t>
  </si>
  <si>
    <t>REAGEN SGPT</t>
  </si>
  <si>
    <t>REAGEN CREATININ</t>
  </si>
  <si>
    <t>REAGEN URIC ACID</t>
  </si>
  <si>
    <t xml:space="preserve">TABUNG MERAH </t>
  </si>
  <si>
    <t>Pot Urine</t>
  </si>
  <si>
    <t>Handscoon</t>
  </si>
  <si>
    <t>Reagen Amp</t>
  </si>
  <si>
    <t>Reagen</t>
  </si>
  <si>
    <t>AUDIOMETRI</t>
  </si>
  <si>
    <t>SEWA ALAT AUDIOMETRI</t>
  </si>
  <si>
    <t>Kertas Audiometri (HVS)</t>
  </si>
  <si>
    <t>FEE DPJP</t>
  </si>
  <si>
    <t>Handscoon NS</t>
  </si>
  <si>
    <t>Corong Spirometri</t>
  </si>
  <si>
    <t>Fee Dokter</t>
  </si>
  <si>
    <t>Tisu</t>
  </si>
  <si>
    <t>HANDSCOON</t>
  </si>
  <si>
    <t>REAGEN TRIGLISERIDE</t>
  </si>
  <si>
    <t>Cup sample</t>
  </si>
  <si>
    <t>JENIS AKTIVITAS</t>
  </si>
  <si>
    <t>KEGIATAN</t>
  </si>
  <si>
    <t>ALAT</t>
  </si>
  <si>
    <t>PELAKSANA</t>
  </si>
  <si>
    <t>WAKTU</t>
  </si>
  <si>
    <t>PEMERIKSAAN PASIEN ON CALL TANPA AMBULANCE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</si>
  <si>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MEMERIKSA PASIEN YANG SAKIT DI LOKASI.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</si>
  <si>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MEMBERI RESEP.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</si>
  <si>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ALAT TTV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</si>
  <si>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EMERGENCY BOX</t>
    </r>
  </si>
  <si>
    <t>DOKTER UMUM</t>
  </si>
  <si>
    <t>+- 30 MENIT UNTUK 1 PASIEN (BELUM WAKTU TEMPUH)</t>
  </si>
  <si>
    <t>EDUKASI KESEHATAN DOKTER UMUM</t>
  </si>
  <si>
    <t>PENYULUHAN SEPUTAR KESEHATAN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</si>
  <si>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TALKSHOW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</si>
  <si>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MINI SEMINAR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</si>
  <si>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SOFTFILE PPT MATERI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</si>
  <si>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SOFTFILE FLYER KESEHATAN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</si>
  <si>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ALAT PERAGA</t>
    </r>
  </si>
  <si>
    <t>DOKTER / DOKTER GIGI UMUM</t>
  </si>
  <si>
    <t>60-120 MENIT</t>
  </si>
  <si>
    <t>EDUKASI KESEHATAN DOKTER SPESIALIS</t>
  </si>
  <si>
    <t>DOKTER / DOKTER GIGI SPESIALIS</t>
  </si>
  <si>
    <t>EDUKASI KESEHATAN TENAGA KESEHATAN NONDOKTER</t>
  </si>
  <si>
    <t>PERAWAT/BIDAN/AHLI GIZI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</si>
</sst>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Rp&quot;#,##0;\-&quot;Rp&quot;#,##0"/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1"/>
      <name val="Arial"/>
      <family val="2"/>
    </font>
    <font>
      <b/>
      <u val="doubleAccounting"/>
      <sz val="11"/>
      <name val="Arial"/>
      <family val="2"/>
    </font>
    <font>
      <b/>
      <sz val="11"/>
      <name val="Arial"/>
      <family val="2"/>
    </font>
    <font>
      <u val="singleAccounting"/>
      <sz val="11"/>
      <name val="Arial"/>
      <family val="2"/>
    </font>
    <font>
      <u val="singleAccounting"/>
      <sz val="11"/>
      <color theme="1"/>
      <name val="Arial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0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5" fontId="0" fillId="0" borderId="1" xfId="0" applyNumberFormat="1" applyBorder="1" applyAlignment="1">
      <alignment horizontal="center"/>
    </xf>
    <xf numFmtId="5" fontId="0" fillId="0" borderId="0" xfId="0" applyNumberFormat="1" applyAlignment="1">
      <alignment horizontal="center"/>
    </xf>
    <xf numFmtId="5" fontId="1" fillId="2" borderId="1" xfId="0" applyNumberFormat="1" applyFont="1" applyFill="1" applyBorder="1" applyAlignment="1">
      <alignment horizontal="center"/>
    </xf>
    <xf numFmtId="41" fontId="1" fillId="2" borderId="1" xfId="1" applyFont="1" applyFill="1" applyBorder="1" applyAlignment="1">
      <alignment horizontal="center"/>
    </xf>
    <xf numFmtId="41" fontId="0" fillId="0" borderId="1" xfId="1" applyFont="1" applyBorder="1" applyAlignment="1">
      <alignment horizontal="center"/>
    </xf>
    <xf numFmtId="41" fontId="0" fillId="0" borderId="0" xfId="1" applyFont="1" applyAlignment="1">
      <alignment horizontal="center"/>
    </xf>
    <xf numFmtId="0" fontId="3" fillId="0" borderId="0" xfId="2" applyFont="1"/>
    <xf numFmtId="0" fontId="5" fillId="0" borderId="0" xfId="2" applyFont="1"/>
    <xf numFmtId="0" fontId="6" fillId="3" borderId="1" xfId="2" applyFont="1" applyFill="1" applyBorder="1" applyAlignment="1">
      <alignment horizontal="center" vertical="center" wrapText="1"/>
    </xf>
    <xf numFmtId="41" fontId="6" fillId="3" borderId="1" xfId="3" applyFont="1" applyFill="1" applyBorder="1" applyAlignment="1">
      <alignment horizontal="center" vertical="center" wrapText="1"/>
    </xf>
    <xf numFmtId="41" fontId="7" fillId="3" borderId="1" xfId="3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vertical="center"/>
    </xf>
    <xf numFmtId="0" fontId="6" fillId="3" borderId="3" xfId="2" applyFont="1" applyFill="1" applyBorder="1" applyAlignment="1">
      <alignment vertical="center" wrapText="1"/>
    </xf>
    <xf numFmtId="164" fontId="7" fillId="3" borderId="1" xfId="4" applyNumberFormat="1" applyFont="1" applyFill="1" applyBorder="1" applyAlignment="1">
      <alignment vertical="center" wrapText="1"/>
    </xf>
    <xf numFmtId="0" fontId="6" fillId="3" borderId="1" xfId="2" applyFont="1" applyFill="1" applyBorder="1" applyAlignment="1">
      <alignment vertical="center" wrapText="1"/>
    </xf>
    <xf numFmtId="0" fontId="6" fillId="3" borderId="2" xfId="2" applyFont="1" applyFill="1" applyBorder="1" applyAlignment="1">
      <alignment horizontal="left" vertical="center"/>
    </xf>
    <xf numFmtId="0" fontId="6" fillId="3" borderId="3" xfId="2" applyFont="1" applyFill="1" applyBorder="1" applyAlignment="1">
      <alignment horizontal="left" vertical="center"/>
    </xf>
    <xf numFmtId="0" fontId="6" fillId="3" borderId="3" xfId="2" applyFont="1" applyFill="1" applyBorder="1" applyAlignment="1">
      <alignment horizontal="right" vertical="center" wrapText="1"/>
    </xf>
    <xf numFmtId="0" fontId="3" fillId="4" borderId="1" xfId="2" quotePrefix="1" applyFont="1" applyFill="1" applyBorder="1" applyAlignment="1">
      <alignment horizontal="center"/>
    </xf>
    <xf numFmtId="0" fontId="3" fillId="4" borderId="1" xfId="2" quotePrefix="1" applyFont="1" applyFill="1" applyBorder="1" applyAlignment="1">
      <alignment horizontal="left"/>
    </xf>
    <xf numFmtId="0" fontId="3" fillId="4" borderId="1" xfId="2" applyFont="1" applyFill="1" applyBorder="1" applyAlignment="1">
      <alignment horizontal="left"/>
    </xf>
    <xf numFmtId="0" fontId="5" fillId="4" borderId="1" xfId="2" applyFont="1" applyFill="1" applyBorder="1"/>
    <xf numFmtId="41" fontId="8" fillId="4" borderId="1" xfId="3" applyFont="1" applyFill="1" applyBorder="1"/>
    <xf numFmtId="0" fontId="3" fillId="4" borderId="2" xfId="2" quotePrefix="1" applyFont="1" applyFill="1" applyBorder="1" applyAlignment="1">
      <alignment horizontal="left"/>
    </xf>
    <xf numFmtId="0" fontId="3" fillId="4" borderId="3" xfId="2" quotePrefix="1" applyFont="1" applyFill="1" applyBorder="1" applyAlignment="1">
      <alignment horizontal="center"/>
    </xf>
    <xf numFmtId="0" fontId="3" fillId="4" borderId="3" xfId="2" applyFont="1" applyFill="1" applyBorder="1" applyAlignment="1">
      <alignment horizontal="left"/>
    </xf>
    <xf numFmtId="0" fontId="5" fillId="4" borderId="3" xfId="2" applyFont="1" applyFill="1" applyBorder="1"/>
    <xf numFmtId="41" fontId="8" fillId="4" borderId="3" xfId="3" applyFont="1" applyFill="1" applyBorder="1"/>
    <xf numFmtId="41" fontId="9" fillId="4" borderId="3" xfId="3" applyFont="1" applyFill="1" applyBorder="1"/>
    <xf numFmtId="0" fontId="6" fillId="3" borderId="3" xfId="2" applyFont="1" applyFill="1" applyBorder="1" applyAlignment="1">
      <alignment horizontal="left" vertical="center" wrapText="1"/>
    </xf>
    <xf numFmtId="0" fontId="10" fillId="0" borderId="1" xfId="2" applyFont="1" applyBorder="1" applyAlignment="1">
      <alignment horizontal="center"/>
    </xf>
    <xf numFmtId="0" fontId="10" fillId="0" borderId="1" xfId="2" applyFont="1" applyBorder="1"/>
    <xf numFmtId="0" fontId="3" fillId="5" borderId="1" xfId="2" applyFont="1" applyFill="1" applyBorder="1"/>
    <xf numFmtId="0" fontId="5" fillId="0" borderId="1" xfId="2" applyFont="1" applyBorder="1" applyAlignment="1">
      <alignment horizontal="left"/>
    </xf>
    <xf numFmtId="41" fontId="8" fillId="6" borderId="1" xfId="3" applyFont="1" applyFill="1" applyBorder="1"/>
    <xf numFmtId="41" fontId="8" fillId="0" borderId="1" xfId="3" applyFont="1" applyBorder="1"/>
    <xf numFmtId="0" fontId="3" fillId="0" borderId="1" xfId="2" applyFont="1" applyBorder="1"/>
    <xf numFmtId="41" fontId="11" fillId="6" borderId="1" xfId="3" applyFont="1" applyFill="1" applyBorder="1"/>
    <xf numFmtId="41" fontId="5" fillId="6" borderId="1" xfId="3" applyFont="1" applyFill="1" applyBorder="1"/>
    <xf numFmtId="41" fontId="5" fillId="5" borderId="1" xfId="3" applyFont="1" applyFill="1" applyBorder="1"/>
    <xf numFmtId="0" fontId="10" fillId="4" borderId="1" xfId="2" applyFont="1" applyFill="1" applyBorder="1" applyAlignment="1">
      <alignment horizontal="center"/>
    </xf>
    <xf numFmtId="41" fontId="10" fillId="4" borderId="1" xfId="3" applyFont="1" applyFill="1" applyBorder="1"/>
    <xf numFmtId="41" fontId="10" fillId="4" borderId="1" xfId="1" applyFont="1" applyFill="1" applyBorder="1"/>
    <xf numFmtId="0" fontId="10" fillId="0" borderId="1" xfId="2" applyFont="1" applyBorder="1" applyAlignment="1">
      <alignment horizontal="left"/>
    </xf>
    <xf numFmtId="0" fontId="5" fillId="0" borderId="1" xfId="2" applyFont="1" applyBorder="1"/>
    <xf numFmtId="41" fontId="5" fillId="0" borderId="1" xfId="3" applyFont="1" applyBorder="1"/>
    <xf numFmtId="0" fontId="3" fillId="0" borderId="1" xfId="2" applyFont="1" applyBorder="1" applyAlignment="1">
      <alignment horizontal="left"/>
    </xf>
    <xf numFmtId="0" fontId="10" fillId="5" borderId="1" xfId="2" applyFont="1" applyFill="1" applyBorder="1" applyAlignment="1">
      <alignment horizontal="center"/>
    </xf>
    <xf numFmtId="0" fontId="10" fillId="5" borderId="1" xfId="2" applyFont="1" applyFill="1" applyBorder="1" applyAlignment="1">
      <alignment horizontal="left"/>
    </xf>
    <xf numFmtId="0" fontId="3" fillId="5" borderId="1" xfId="2" applyFont="1" applyFill="1" applyBorder="1" applyAlignment="1">
      <alignment horizontal="left"/>
    </xf>
    <xf numFmtId="0" fontId="5" fillId="5" borderId="1" xfId="2" applyFont="1" applyFill="1" applyBorder="1"/>
    <xf numFmtId="41" fontId="11" fillId="5" borderId="1" xfId="3" applyFont="1" applyFill="1" applyBorder="1"/>
    <xf numFmtId="41" fontId="8" fillId="5" borderId="1" xfId="3" applyFont="1" applyFill="1" applyBorder="1"/>
    <xf numFmtId="0" fontId="10" fillId="4" borderId="1" xfId="2" applyFont="1" applyFill="1" applyBorder="1" applyAlignment="1">
      <alignment horizontal="left"/>
    </xf>
    <xf numFmtId="0" fontId="10" fillId="4" borderId="1" xfId="2" applyFont="1" applyFill="1" applyBorder="1"/>
    <xf numFmtId="0" fontId="3" fillId="5" borderId="1" xfId="2" quotePrefix="1" applyFont="1" applyFill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8" fillId="0" borderId="1" xfId="2" applyFont="1" applyBorder="1"/>
    <xf numFmtId="41" fontId="11" fillId="0" borderId="1" xfId="3" applyFont="1" applyBorder="1"/>
    <xf numFmtId="0" fontId="6" fillId="7" borderId="1" xfId="2" quotePrefix="1" applyFont="1" applyFill="1" applyBorder="1" applyAlignment="1">
      <alignment horizontal="center"/>
    </xf>
    <xf numFmtId="0" fontId="6" fillId="7" borderId="1" xfId="2" applyFont="1" applyFill="1" applyBorder="1" applyAlignment="1">
      <alignment horizontal="left"/>
    </xf>
    <xf numFmtId="0" fontId="6" fillId="7" borderId="1" xfId="2" applyFont="1" applyFill="1" applyBorder="1"/>
    <xf numFmtId="41" fontId="6" fillId="7" borderId="1" xfId="3" applyFont="1" applyFill="1" applyBorder="1"/>
    <xf numFmtId="0" fontId="6" fillId="7" borderId="1" xfId="2" applyFont="1" applyFill="1" applyBorder="1" applyAlignment="1">
      <alignment horizontal="center"/>
    </xf>
    <xf numFmtId="0" fontId="6" fillId="7" borderId="1" xfId="2" applyFont="1" applyFill="1" applyBorder="1" applyAlignment="1">
      <alignment horizontal="left" indent="2"/>
    </xf>
    <xf numFmtId="0" fontId="6" fillId="8" borderId="3" xfId="2" applyFont="1" applyFill="1" applyBorder="1" applyAlignment="1">
      <alignment horizontal="right" vertical="center" wrapText="1"/>
    </xf>
    <xf numFmtId="0" fontId="6" fillId="8" borderId="4" xfId="2" applyFont="1" applyFill="1" applyBorder="1" applyAlignment="1">
      <alignment horizontal="right" vertical="center" wrapText="1"/>
    </xf>
    <xf numFmtId="0" fontId="8" fillId="0" borderId="1" xfId="0" applyFont="1" applyBorder="1"/>
    <xf numFmtId="41" fontId="8" fillId="0" borderId="1" xfId="1" applyFont="1" applyBorder="1"/>
    <xf numFmtId="0" fontId="8" fillId="0" borderId="1" xfId="0" applyFont="1" applyBorder="1" applyAlignment="1">
      <alignment horizontal="left"/>
    </xf>
    <xf numFmtId="0" fontId="5" fillId="0" borderId="1" xfId="0" applyFont="1" applyBorder="1"/>
    <xf numFmtId="41" fontId="8" fillId="6" borderId="1" xfId="1" applyFont="1" applyFill="1" applyBorder="1"/>
    <xf numFmtId="41" fontId="11" fillId="6" borderId="1" xfId="1" applyFont="1" applyFill="1" applyBorder="1"/>
    <xf numFmtId="0" fontId="5" fillId="0" borderId="1" xfId="0" applyFont="1" applyBorder="1" applyAlignment="1">
      <alignment horizontal="left"/>
    </xf>
    <xf numFmtId="41" fontId="5" fillId="0" borderId="1" xfId="1" applyFont="1" applyBorder="1"/>
    <xf numFmtId="41" fontId="12" fillId="0" borderId="1" xfId="1" applyFont="1" applyBorder="1"/>
    <xf numFmtId="41" fontId="3" fillId="5" borderId="1" xfId="3" applyFont="1" applyFill="1" applyBorder="1"/>
    <xf numFmtId="41" fontId="11" fillId="0" borderId="1" xfId="1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5" fillId="0" borderId="0" xfId="0" applyFont="1"/>
    <xf numFmtId="0" fontId="3" fillId="0" borderId="1" xfId="0" applyFont="1" applyBorder="1"/>
    <xf numFmtId="0" fontId="5" fillId="6" borderId="0" xfId="0" applyFont="1" applyFill="1"/>
    <xf numFmtId="0" fontId="6" fillId="8" borderId="2" xfId="2" applyFont="1" applyFill="1" applyBorder="1" applyAlignment="1">
      <alignment horizontal="left" vertical="center"/>
    </xf>
    <xf numFmtId="0" fontId="0" fillId="0" borderId="1" xfId="0" applyBorder="1"/>
    <xf numFmtId="0" fontId="0" fillId="9" borderId="1" xfId="0" applyFill="1" applyBorder="1"/>
    <xf numFmtId="41" fontId="0" fillId="9" borderId="1" xfId="1" applyFont="1" applyFill="1" applyBorder="1" applyAlignment="1">
      <alignment horizontal="center"/>
    </xf>
    <xf numFmtId="41" fontId="6" fillId="8" borderId="4" xfId="2" applyNumberFormat="1" applyFont="1" applyFill="1" applyBorder="1" applyAlignment="1">
      <alignment horizontal="right" vertical="center" wrapText="1"/>
    </xf>
    <xf numFmtId="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top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</cellXfs>
  <cellStyles count="5">
    <cellStyle name="Comma [0]" xfId="1" builtinId="6"/>
    <cellStyle name="Comma [0] 2" xfId="3" xr:uid="{99771581-A913-4172-A1AF-A479065244FC}"/>
    <cellStyle name="Comma 2" xfId="4" xr:uid="{F3717463-C1CC-4E34-A491-187AC8C5169C}"/>
    <cellStyle name="Normal" xfId="0" builtinId="0"/>
    <cellStyle name="Normal 2" xfId="2" xr:uid="{A2E911C1-CF16-4B74-B855-433F17F95E3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204788</xdr:colOff>
      <xdr:row>200</xdr:row>
      <xdr:rowOff>0</xdr:rowOff>
    </xdr:from>
    <xdr:to>
      <xdr:col>1</xdr:col>
      <xdr:colOff>781053</xdr:colOff>
      <xdr:row>200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A59F94-48A0-4E26-B78B-C37354C9877F}"/>
            </a:ext>
          </a:extLst>
        </xdr:cNvPr>
        <xdr:cNvSpPr txBox="1"/>
      </xdr:nvSpPr>
      <xdr:spPr>
        <a:xfrm rot="16200000">
          <a:off x="759621" y="22162292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226</xdr:row>
      <xdr:rowOff>66676</xdr:rowOff>
    </xdr:from>
    <xdr:to>
      <xdr:col>2</xdr:col>
      <xdr:colOff>0</xdr:colOff>
      <xdr:row>229</xdr:row>
      <xdr:rowOff>66676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ABFB1AD-C845-4235-A367-13239A946EE0}"/>
            </a:ext>
          </a:extLst>
        </xdr:cNvPr>
        <xdr:cNvGrpSpPr/>
      </xdr:nvGrpSpPr>
      <xdr:grpSpPr>
        <a:xfrm>
          <a:off x="1819275" y="40205026"/>
          <a:ext cx="0" cy="571500"/>
          <a:chOff x="0" y="0"/>
          <a:chExt cx="2047239" cy="82105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5A97C7D-DE76-B185-DA04-3A7700F2A73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EF92F6E-8FB1-E9D5-7A67-CD061F0F56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1</xdr:col>
      <xdr:colOff>204788</xdr:colOff>
      <xdr:row>199</xdr:row>
      <xdr:rowOff>0</xdr:rowOff>
    </xdr:from>
    <xdr:to>
      <xdr:col>1</xdr:col>
      <xdr:colOff>781053</xdr:colOff>
      <xdr:row>199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ABDBD5-1759-4F4B-8ECF-3FE6FD6F811C}"/>
            </a:ext>
          </a:extLst>
        </xdr:cNvPr>
        <xdr:cNvSpPr txBox="1"/>
      </xdr:nvSpPr>
      <xdr:spPr>
        <a:xfrm rot="16200000">
          <a:off x="759621" y="21981317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225</xdr:row>
      <xdr:rowOff>66676</xdr:rowOff>
    </xdr:from>
    <xdr:to>
      <xdr:col>2</xdr:col>
      <xdr:colOff>0</xdr:colOff>
      <xdr:row>228</xdr:row>
      <xdr:rowOff>66676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0DD1D92-41FD-4DC1-BDB9-AB5C0AABE046}"/>
            </a:ext>
          </a:extLst>
        </xdr:cNvPr>
        <xdr:cNvGrpSpPr/>
      </xdr:nvGrpSpPr>
      <xdr:grpSpPr>
        <a:xfrm>
          <a:off x="1819275" y="40014526"/>
          <a:ext cx="0" cy="571500"/>
          <a:chOff x="0" y="0"/>
          <a:chExt cx="2047239" cy="821055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6A88E7E7-3C6D-0171-AF54-75AC1587EC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AF1EA355-E613-E560-8F03-60B14E4335C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E634-070D-4EDF-A9DF-0A4565860DAA}">
  <dimension ref="A1:E23"/>
  <sheetViews>
    <sheetView workbookViewId="0">
      <selection activeCell="E13" sqref="E13"/>
    </sheetView>
  </sheetViews>
  <sheetFormatPr defaultRowHeight="15" x14ac:dyDescent="0.25"/>
  <cols>
    <col min="1" max="1" width="6" style="1" customWidth="1"/>
    <col min="2" max="2" width="28.7109375" customWidth="1"/>
    <col min="3" max="3" width="17.42578125" style="10" customWidth="1"/>
    <col min="4" max="4" width="17.42578125" style="6" customWidth="1"/>
    <col min="5" max="5" width="20.7109375" style="6" customWidth="1"/>
  </cols>
  <sheetData>
    <row r="1" spans="1:5" x14ac:dyDescent="0.25">
      <c r="A1" s="94" t="s">
        <v>0</v>
      </c>
      <c r="B1" s="94"/>
      <c r="C1" s="94"/>
      <c r="D1" s="94"/>
      <c r="E1" s="94"/>
    </row>
    <row r="2" spans="1:5" x14ac:dyDescent="0.25">
      <c r="A2" s="95" t="s">
        <v>1</v>
      </c>
      <c r="B2" s="95" t="s">
        <v>2</v>
      </c>
      <c r="C2" s="93" t="s">
        <v>3</v>
      </c>
      <c r="D2" s="93"/>
      <c r="E2" s="93"/>
    </row>
    <row r="3" spans="1:5" x14ac:dyDescent="0.25">
      <c r="A3" s="95"/>
      <c r="B3" s="95"/>
      <c r="C3" s="8" t="s">
        <v>6</v>
      </c>
      <c r="D3" s="7" t="s">
        <v>5</v>
      </c>
      <c r="E3" s="7" t="s">
        <v>4</v>
      </c>
    </row>
    <row r="4" spans="1:5" x14ac:dyDescent="0.25">
      <c r="A4" s="3">
        <v>1</v>
      </c>
      <c r="B4" s="4" t="s">
        <v>13</v>
      </c>
      <c r="C4" s="9">
        <v>70000</v>
      </c>
      <c r="D4" s="5"/>
      <c r="E4" s="5"/>
    </row>
    <row r="5" spans="1:5" x14ac:dyDescent="0.25">
      <c r="A5" s="2">
        <v>2</v>
      </c>
      <c r="B5" s="89" t="s">
        <v>24</v>
      </c>
      <c r="C5" s="9">
        <v>55000</v>
      </c>
      <c r="D5" s="5"/>
      <c r="E5" s="5"/>
    </row>
    <row r="6" spans="1:5" x14ac:dyDescent="0.25">
      <c r="A6" s="3">
        <v>3</v>
      </c>
      <c r="B6" s="89" t="s">
        <v>7</v>
      </c>
      <c r="C6" s="9">
        <v>60000</v>
      </c>
      <c r="D6" s="5"/>
      <c r="E6" s="5"/>
    </row>
    <row r="7" spans="1:5" x14ac:dyDescent="0.25">
      <c r="A7" s="2">
        <v>4</v>
      </c>
      <c r="B7" s="89" t="s">
        <v>8</v>
      </c>
      <c r="C7" s="9">
        <v>23000</v>
      </c>
      <c r="D7" s="5"/>
      <c r="E7" s="5"/>
    </row>
    <row r="8" spans="1:5" x14ac:dyDescent="0.25">
      <c r="A8" s="3">
        <v>5</v>
      </c>
      <c r="B8" s="89" t="s">
        <v>14</v>
      </c>
      <c r="C8" s="9">
        <v>42000</v>
      </c>
      <c r="D8" s="5"/>
      <c r="E8" s="5"/>
    </row>
    <row r="9" spans="1:5" x14ac:dyDescent="0.25">
      <c r="A9" s="2">
        <v>6</v>
      </c>
      <c r="B9" s="89" t="s">
        <v>113</v>
      </c>
      <c r="C9" s="9">
        <v>28000</v>
      </c>
      <c r="D9" s="5"/>
      <c r="E9" s="5"/>
    </row>
    <row r="10" spans="1:5" x14ac:dyDescent="0.25">
      <c r="A10" s="3">
        <v>7</v>
      </c>
      <c r="B10" s="89" t="s">
        <v>22</v>
      </c>
      <c r="C10" s="9">
        <v>28000</v>
      </c>
      <c r="D10" s="5"/>
      <c r="E10" s="5"/>
    </row>
    <row r="11" spans="1:5" x14ac:dyDescent="0.25">
      <c r="A11" s="2">
        <v>8</v>
      </c>
      <c r="B11" s="89" t="s">
        <v>16</v>
      </c>
      <c r="C11" s="9">
        <v>30000</v>
      </c>
      <c r="D11" s="5"/>
      <c r="E11" s="5"/>
    </row>
    <row r="12" spans="1:5" x14ac:dyDescent="0.25">
      <c r="A12" s="3">
        <v>9</v>
      </c>
      <c r="B12" s="89" t="s">
        <v>9</v>
      </c>
      <c r="C12" s="9">
        <v>30000</v>
      </c>
      <c r="D12" s="5"/>
      <c r="E12" s="5"/>
    </row>
    <row r="13" spans="1:5" x14ac:dyDescent="0.25">
      <c r="A13" s="2">
        <v>10</v>
      </c>
      <c r="B13" s="89" t="s">
        <v>23</v>
      </c>
      <c r="C13" s="9">
        <v>30000</v>
      </c>
      <c r="D13" s="5"/>
      <c r="E13" s="5"/>
    </row>
    <row r="14" spans="1:5" x14ac:dyDescent="0.25">
      <c r="A14" s="3">
        <v>11</v>
      </c>
      <c r="B14" s="89" t="s">
        <v>15</v>
      </c>
      <c r="C14" s="9">
        <v>30000</v>
      </c>
      <c r="D14" s="5"/>
      <c r="E14" s="5"/>
    </row>
    <row r="15" spans="1:5" x14ac:dyDescent="0.25">
      <c r="A15" s="2">
        <v>12</v>
      </c>
      <c r="B15" s="89" t="s">
        <v>17</v>
      </c>
      <c r="C15" s="9">
        <v>28000</v>
      </c>
      <c r="D15" s="5"/>
      <c r="E15" s="5"/>
    </row>
    <row r="16" spans="1:5" x14ac:dyDescent="0.25">
      <c r="A16" s="3">
        <v>13</v>
      </c>
      <c r="B16" s="89" t="s">
        <v>18</v>
      </c>
      <c r="C16" s="9">
        <v>31000</v>
      </c>
      <c r="D16" s="5"/>
      <c r="E16" s="5"/>
    </row>
    <row r="17" spans="1:5" x14ac:dyDescent="0.25">
      <c r="A17" s="2">
        <v>14</v>
      </c>
      <c r="B17" s="89" t="s">
        <v>10</v>
      </c>
      <c r="C17" s="9">
        <v>104000</v>
      </c>
      <c r="D17" s="5"/>
      <c r="E17" s="5"/>
    </row>
    <row r="18" spans="1:5" x14ac:dyDescent="0.25">
      <c r="A18" s="3">
        <v>15</v>
      </c>
      <c r="B18" s="89" t="s">
        <v>11</v>
      </c>
      <c r="C18" s="9">
        <v>400000</v>
      </c>
      <c r="D18" s="5"/>
      <c r="E18" s="5"/>
    </row>
    <row r="19" spans="1:5" x14ac:dyDescent="0.25">
      <c r="A19" s="2">
        <v>16</v>
      </c>
      <c r="B19" s="89" t="s">
        <v>12</v>
      </c>
      <c r="C19" s="9">
        <v>320000</v>
      </c>
      <c r="D19" s="5"/>
      <c r="E19" s="5"/>
    </row>
    <row r="20" spans="1:5" x14ac:dyDescent="0.25">
      <c r="A20" s="3">
        <v>17</v>
      </c>
      <c r="B20" s="89" t="s">
        <v>19</v>
      </c>
      <c r="C20" s="9">
        <v>57500</v>
      </c>
      <c r="D20" s="5"/>
      <c r="E20" s="5"/>
    </row>
    <row r="21" spans="1:5" x14ac:dyDescent="0.25">
      <c r="A21" s="2">
        <v>18</v>
      </c>
      <c r="B21" s="89" t="s">
        <v>20</v>
      </c>
      <c r="C21" s="9">
        <v>57500</v>
      </c>
      <c r="D21" s="5"/>
      <c r="E21" s="5"/>
    </row>
    <row r="22" spans="1:5" x14ac:dyDescent="0.25">
      <c r="A22" s="3">
        <v>19</v>
      </c>
      <c r="B22" s="89" t="s">
        <v>21</v>
      </c>
      <c r="C22" s="9">
        <v>57500</v>
      </c>
      <c r="D22" s="5"/>
      <c r="E22" s="5"/>
    </row>
    <row r="23" spans="1:5" x14ac:dyDescent="0.25">
      <c r="A23" s="2">
        <v>20</v>
      </c>
      <c r="B23" s="90" t="s">
        <v>94</v>
      </c>
      <c r="C23" s="91">
        <v>212600</v>
      </c>
      <c r="D23" s="5"/>
      <c r="E23" s="5"/>
    </row>
  </sheetData>
  <mergeCells count="4">
    <mergeCell ref="C2:E2"/>
    <mergeCell ref="A1:E1"/>
    <mergeCell ref="B2:B3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4A67-9E32-4583-8D22-29E610304166}">
  <dimension ref="A1:E16"/>
  <sheetViews>
    <sheetView workbookViewId="0">
      <selection activeCell="A21" sqref="A21"/>
    </sheetView>
  </sheetViews>
  <sheetFormatPr defaultRowHeight="15" x14ac:dyDescent="0.25"/>
  <cols>
    <col min="1" max="1" width="51.140625" bestFit="1" customWidth="1"/>
    <col min="2" max="2" width="43.42578125" bestFit="1" customWidth="1"/>
    <col min="3" max="3" width="29.140625" bestFit="1" customWidth="1"/>
    <col min="4" max="4" width="30.42578125" bestFit="1" customWidth="1"/>
    <col min="5" max="5" width="50.140625" bestFit="1" customWidth="1"/>
  </cols>
  <sheetData>
    <row r="1" spans="1:5" ht="15.75" thickBot="1" x14ac:dyDescent="0.3"/>
    <row r="2" spans="1:5" ht="15.75" thickBot="1" x14ac:dyDescent="0.3">
      <c r="A2" s="96" t="s">
        <v>136</v>
      </c>
      <c r="B2" s="97" t="s">
        <v>137</v>
      </c>
      <c r="C2" s="97" t="s">
        <v>138</v>
      </c>
      <c r="D2" s="97" t="s">
        <v>139</v>
      </c>
      <c r="E2" s="97" t="s">
        <v>140</v>
      </c>
    </row>
    <row r="3" spans="1:5" x14ac:dyDescent="0.25">
      <c r="A3" s="103" t="s">
        <v>141</v>
      </c>
      <c r="B3" s="98" t="s">
        <v>142</v>
      </c>
      <c r="C3" s="98" t="s">
        <v>144</v>
      </c>
      <c r="D3" s="103" t="s">
        <v>146</v>
      </c>
      <c r="E3" s="103" t="s">
        <v>147</v>
      </c>
    </row>
    <row r="4" spans="1:5" ht="15.75" thickBot="1" x14ac:dyDescent="0.3">
      <c r="A4" s="104"/>
      <c r="B4" s="99" t="s">
        <v>143</v>
      </c>
      <c r="C4" s="99" t="s">
        <v>145</v>
      </c>
      <c r="D4" s="104"/>
      <c r="E4" s="104"/>
    </row>
    <row r="5" spans="1:5" x14ac:dyDescent="0.25">
      <c r="A5" s="103" t="s">
        <v>148</v>
      </c>
      <c r="B5" s="100" t="s">
        <v>149</v>
      </c>
      <c r="C5" s="98" t="s">
        <v>152</v>
      </c>
      <c r="D5" s="103" t="s">
        <v>155</v>
      </c>
      <c r="E5" s="103" t="s">
        <v>156</v>
      </c>
    </row>
    <row r="6" spans="1:5" x14ac:dyDescent="0.25">
      <c r="A6" s="105"/>
      <c r="B6" s="98" t="s">
        <v>150</v>
      </c>
      <c r="C6" s="98" t="s">
        <v>153</v>
      </c>
      <c r="D6" s="105"/>
      <c r="E6" s="105"/>
    </row>
    <row r="7" spans="1:5" x14ac:dyDescent="0.25">
      <c r="A7" s="105"/>
      <c r="B7" s="98" t="s">
        <v>151</v>
      </c>
      <c r="C7" s="98" t="s">
        <v>154</v>
      </c>
      <c r="D7" s="105"/>
      <c r="E7" s="105"/>
    </row>
    <row r="8" spans="1:5" ht="15.75" thickBot="1" x14ac:dyDescent="0.3">
      <c r="A8" s="104"/>
      <c r="B8" s="101"/>
      <c r="C8" s="102"/>
      <c r="D8" s="104"/>
      <c r="E8" s="104"/>
    </row>
    <row r="9" spans="1:5" x14ac:dyDescent="0.25">
      <c r="A9" s="103" t="s">
        <v>157</v>
      </c>
      <c r="B9" s="100" t="s">
        <v>149</v>
      </c>
      <c r="C9" s="98" t="s">
        <v>152</v>
      </c>
      <c r="D9" s="103" t="s">
        <v>158</v>
      </c>
      <c r="E9" s="103" t="s">
        <v>156</v>
      </c>
    </row>
    <row r="10" spans="1:5" x14ac:dyDescent="0.25">
      <c r="A10" s="105"/>
      <c r="B10" s="98" t="s">
        <v>150</v>
      </c>
      <c r="C10" s="98" t="s">
        <v>153</v>
      </c>
      <c r="D10" s="105"/>
      <c r="E10" s="105"/>
    </row>
    <row r="11" spans="1:5" x14ac:dyDescent="0.25">
      <c r="A11" s="105"/>
      <c r="B11" s="98" t="s">
        <v>151</v>
      </c>
      <c r="C11" s="98" t="s">
        <v>154</v>
      </c>
      <c r="D11" s="105"/>
      <c r="E11" s="105"/>
    </row>
    <row r="12" spans="1:5" ht="15.75" thickBot="1" x14ac:dyDescent="0.3">
      <c r="A12" s="104"/>
      <c r="B12" s="101"/>
      <c r="C12" s="102"/>
      <c r="D12" s="104"/>
      <c r="E12" s="104"/>
    </row>
    <row r="13" spans="1:5" x14ac:dyDescent="0.25">
      <c r="A13" s="103" t="s">
        <v>159</v>
      </c>
      <c r="B13" s="100" t="s">
        <v>149</v>
      </c>
      <c r="C13" s="98" t="s">
        <v>152</v>
      </c>
      <c r="D13" s="103" t="s">
        <v>160</v>
      </c>
      <c r="E13" s="103" t="s">
        <v>156</v>
      </c>
    </row>
    <row r="14" spans="1:5" x14ac:dyDescent="0.25">
      <c r="A14" s="105"/>
      <c r="B14" s="98" t="s">
        <v>150</v>
      </c>
      <c r="C14" s="98" t="s">
        <v>153</v>
      </c>
      <c r="D14" s="105"/>
      <c r="E14" s="105"/>
    </row>
    <row r="15" spans="1:5" x14ac:dyDescent="0.25">
      <c r="A15" s="105"/>
      <c r="B15" s="98" t="s">
        <v>151</v>
      </c>
      <c r="C15" s="98" t="s">
        <v>154</v>
      </c>
      <c r="D15" s="105"/>
      <c r="E15" s="105"/>
    </row>
    <row r="16" spans="1:5" ht="15.75" thickBot="1" x14ac:dyDescent="0.3">
      <c r="A16" s="104"/>
      <c r="B16" s="101"/>
      <c r="C16" s="102"/>
      <c r="D16" s="104"/>
      <c r="E16" s="10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0305-9B49-4F8A-9FDF-DA36465CF433}">
  <dimension ref="A1:S147"/>
  <sheetViews>
    <sheetView tabSelected="1" workbookViewId="0">
      <pane ySplit="13" topLeftCell="A115" activePane="bottomLeft" state="frozen"/>
      <selection pane="bottomLeft" activeCell="M129" sqref="M129"/>
    </sheetView>
  </sheetViews>
  <sheetFormatPr defaultRowHeight="15" x14ac:dyDescent="0.25"/>
  <cols>
    <col min="1" max="1" width="4" style="12" bestFit="1" customWidth="1"/>
    <col min="2" max="2" width="23.28515625" style="12" customWidth="1"/>
    <col min="3" max="3" width="29.7109375" style="12" customWidth="1"/>
    <col min="4" max="4" width="26.7109375" style="12" bestFit="1" customWidth="1"/>
    <col min="5" max="5" width="9.5703125" style="12" bestFit="1" customWidth="1"/>
    <col min="6" max="6" width="12.28515625" style="12" customWidth="1"/>
    <col min="7" max="7" width="14" style="12" bestFit="1" customWidth="1"/>
  </cols>
  <sheetData>
    <row r="1" spans="1:7" hidden="1" x14ac:dyDescent="0.25">
      <c r="A1" s="11" t="s">
        <v>25</v>
      </c>
    </row>
    <row r="2" spans="1:7" hidden="1" x14ac:dyDescent="0.25">
      <c r="A2" s="12" t="s">
        <v>26</v>
      </c>
      <c r="B2" s="12" t="s">
        <v>27</v>
      </c>
      <c r="C2" s="12" t="s">
        <v>28</v>
      </c>
    </row>
    <row r="3" spans="1:7" hidden="1" x14ac:dyDescent="0.25">
      <c r="A3" s="12" t="s">
        <v>29</v>
      </c>
      <c r="B3" s="12" t="s">
        <v>30</v>
      </c>
      <c r="C3" s="12" t="s">
        <v>28</v>
      </c>
    </row>
    <row r="4" spans="1:7" hidden="1" x14ac:dyDescent="0.25">
      <c r="A4" s="12" t="s">
        <v>31</v>
      </c>
      <c r="B4" s="12" t="s">
        <v>32</v>
      </c>
      <c r="C4" s="12" t="s">
        <v>28</v>
      </c>
    </row>
    <row r="5" spans="1:7" hidden="1" x14ac:dyDescent="0.25">
      <c r="A5" s="12" t="s">
        <v>33</v>
      </c>
      <c r="B5" s="12" t="s">
        <v>34</v>
      </c>
      <c r="C5" s="12" t="s">
        <v>28</v>
      </c>
    </row>
    <row r="6" spans="1:7" hidden="1" x14ac:dyDescent="0.25">
      <c r="A6" s="12" t="s">
        <v>35</v>
      </c>
      <c r="B6" s="12" t="s">
        <v>36</v>
      </c>
      <c r="C6" s="12" t="s">
        <v>28</v>
      </c>
    </row>
    <row r="7" spans="1:7" hidden="1" x14ac:dyDescent="0.25">
      <c r="A7" s="12" t="s">
        <v>37</v>
      </c>
      <c r="B7" s="12" t="s">
        <v>38</v>
      </c>
      <c r="C7" s="12" t="s">
        <v>28</v>
      </c>
    </row>
    <row r="8" spans="1:7" hidden="1" x14ac:dyDescent="0.25">
      <c r="A8" s="12" t="s">
        <v>39</v>
      </c>
      <c r="B8" s="12" t="s">
        <v>40</v>
      </c>
      <c r="C8" s="12" t="s">
        <v>28</v>
      </c>
    </row>
    <row r="9" spans="1:7" hidden="1" x14ac:dyDescent="0.25">
      <c r="A9" s="12" t="s">
        <v>41</v>
      </c>
      <c r="B9" s="12" t="s">
        <v>42</v>
      </c>
      <c r="C9" s="12" t="s">
        <v>28</v>
      </c>
    </row>
    <row r="10" spans="1:7" hidden="1" x14ac:dyDescent="0.25">
      <c r="A10" s="12" t="s">
        <v>43</v>
      </c>
      <c r="B10" s="12" t="s">
        <v>44</v>
      </c>
      <c r="C10" s="12" t="s">
        <v>45</v>
      </c>
    </row>
    <row r="11" spans="1:7" hidden="1" x14ac:dyDescent="0.25">
      <c r="A11" s="12" t="s">
        <v>46</v>
      </c>
      <c r="B11" s="12" t="s">
        <v>47</v>
      </c>
      <c r="C11" s="12" t="s">
        <v>48</v>
      </c>
    </row>
    <row r="12" spans="1:7" hidden="1" x14ac:dyDescent="0.25">
      <c r="A12" s="11" t="s">
        <v>49</v>
      </c>
    </row>
    <row r="13" spans="1:7" ht="30" x14ac:dyDescent="0.25">
      <c r="A13" s="13" t="s">
        <v>1</v>
      </c>
      <c r="B13" s="14" t="s">
        <v>50</v>
      </c>
      <c r="C13" s="13" t="s">
        <v>51</v>
      </c>
      <c r="D13" s="13" t="s">
        <v>52</v>
      </c>
      <c r="E13" s="15" t="s">
        <v>53</v>
      </c>
      <c r="F13" s="14" t="s">
        <v>54</v>
      </c>
      <c r="G13" s="14" t="s">
        <v>55</v>
      </c>
    </row>
    <row r="14" spans="1:7" hidden="1" x14ac:dyDescent="0.25">
      <c r="A14" s="16" t="s">
        <v>56</v>
      </c>
      <c r="B14" s="17"/>
      <c r="C14" s="17"/>
      <c r="D14" s="17"/>
      <c r="E14" s="18"/>
      <c r="F14" s="19"/>
      <c r="G14" s="19"/>
    </row>
    <row r="15" spans="1:7" ht="30" hidden="1" x14ac:dyDescent="0.25">
      <c r="A15" s="20" t="s">
        <v>57</v>
      </c>
      <c r="B15" s="21"/>
      <c r="C15" s="22"/>
      <c r="D15" s="22"/>
      <c r="E15" s="15" t="s">
        <v>53</v>
      </c>
      <c r="F15" s="14" t="s">
        <v>54</v>
      </c>
      <c r="G15" s="19"/>
    </row>
    <row r="16" spans="1:7" hidden="1" x14ac:dyDescent="0.25">
      <c r="A16" s="23"/>
      <c r="B16" s="24"/>
      <c r="C16" s="25"/>
      <c r="D16" s="26"/>
      <c r="E16" s="27"/>
      <c r="F16" s="27"/>
      <c r="G16" s="27"/>
    </row>
    <row r="17" spans="1:7" hidden="1" x14ac:dyDescent="0.25">
      <c r="A17" s="23"/>
      <c r="B17" s="24"/>
      <c r="C17" s="25"/>
      <c r="D17" s="26"/>
      <c r="E17" s="27"/>
      <c r="F17" s="27"/>
      <c r="G17" s="27"/>
    </row>
    <row r="18" spans="1:7" ht="17.25" hidden="1" x14ac:dyDescent="0.4">
      <c r="A18" s="28" t="s">
        <v>58</v>
      </c>
      <c r="B18" s="29"/>
      <c r="C18" s="30"/>
      <c r="D18" s="31"/>
      <c r="E18" s="32"/>
      <c r="F18" s="33">
        <f>SUM(F16:F17)</f>
        <v>0</v>
      </c>
      <c r="G18" s="27"/>
    </row>
    <row r="19" spans="1:7" x14ac:dyDescent="0.25">
      <c r="A19" s="20" t="s">
        <v>59</v>
      </c>
      <c r="B19" s="34"/>
      <c r="C19" s="34"/>
      <c r="D19" s="34"/>
      <c r="E19" s="34"/>
      <c r="F19" s="34"/>
      <c r="G19" s="34"/>
    </row>
    <row r="20" spans="1:7" x14ac:dyDescent="0.25">
      <c r="A20" s="35">
        <v>1</v>
      </c>
      <c r="B20" s="36"/>
      <c r="C20" s="37" t="s">
        <v>61</v>
      </c>
      <c r="D20" s="38" t="s">
        <v>62</v>
      </c>
      <c r="E20" s="39">
        <v>1</v>
      </c>
      <c r="F20" s="39">
        <v>23832.81</v>
      </c>
      <c r="G20" s="40">
        <f t="shared" ref="G20:G22" si="0">+E20*F20</f>
        <v>23832.81</v>
      </c>
    </row>
    <row r="21" spans="1:7" x14ac:dyDescent="0.25">
      <c r="A21" s="35"/>
      <c r="B21" s="36"/>
      <c r="C21" s="41"/>
      <c r="D21" s="74" t="s">
        <v>98</v>
      </c>
      <c r="E21" s="39">
        <v>1</v>
      </c>
      <c r="F21" s="73">
        <v>234</v>
      </c>
      <c r="G21" s="40">
        <f t="shared" si="0"/>
        <v>234</v>
      </c>
    </row>
    <row r="22" spans="1:7" ht="16.5" x14ac:dyDescent="0.35">
      <c r="A22" s="35"/>
      <c r="B22" s="36"/>
      <c r="C22" s="41"/>
      <c r="D22" s="38" t="s">
        <v>60</v>
      </c>
      <c r="E22" s="39">
        <v>1</v>
      </c>
      <c r="F22" s="42">
        <v>1170</v>
      </c>
      <c r="G22" s="40">
        <f t="shared" si="0"/>
        <v>1170</v>
      </c>
    </row>
    <row r="23" spans="1:7" x14ac:dyDescent="0.25">
      <c r="A23" s="35"/>
      <c r="B23" s="36"/>
      <c r="C23" s="41"/>
      <c r="D23" s="38"/>
      <c r="E23" s="43"/>
      <c r="F23" s="81">
        <f>SUM(F20:F22)</f>
        <v>25236.81</v>
      </c>
      <c r="G23" s="40"/>
    </row>
    <row r="24" spans="1:7" x14ac:dyDescent="0.25">
      <c r="A24" s="35"/>
      <c r="B24" s="36"/>
      <c r="C24" s="41"/>
      <c r="D24" s="38"/>
      <c r="E24" s="43"/>
      <c r="F24" s="43"/>
      <c r="G24" s="40"/>
    </row>
    <row r="25" spans="1:7" x14ac:dyDescent="0.25">
      <c r="A25" s="35">
        <v>2</v>
      </c>
      <c r="B25" s="36"/>
      <c r="C25" s="37" t="s">
        <v>7</v>
      </c>
      <c r="D25" s="72" t="s">
        <v>97</v>
      </c>
      <c r="E25" s="39">
        <v>1</v>
      </c>
      <c r="F25" s="73">
        <v>104.78</v>
      </c>
      <c r="G25" s="40">
        <f t="shared" ref="G25:G29" si="1">+E25*F25</f>
        <v>104.78</v>
      </c>
    </row>
    <row r="26" spans="1:7" x14ac:dyDescent="0.25">
      <c r="A26" s="35"/>
      <c r="B26" s="36"/>
      <c r="C26" s="41"/>
      <c r="D26" s="74" t="s">
        <v>98</v>
      </c>
      <c r="E26" s="39">
        <v>1</v>
      </c>
      <c r="F26" s="73">
        <v>234</v>
      </c>
      <c r="G26" s="40">
        <f t="shared" si="1"/>
        <v>234</v>
      </c>
    </row>
    <row r="27" spans="1:7" x14ac:dyDescent="0.25">
      <c r="A27" s="35"/>
      <c r="B27" s="36"/>
      <c r="C27" s="41"/>
      <c r="D27" s="74" t="s">
        <v>99</v>
      </c>
      <c r="E27" s="39">
        <v>1</v>
      </c>
      <c r="F27" s="73">
        <v>6578</v>
      </c>
      <c r="G27" s="40">
        <f t="shared" si="1"/>
        <v>6578</v>
      </c>
    </row>
    <row r="28" spans="1:7" x14ac:dyDescent="0.25">
      <c r="A28" s="35"/>
      <c r="B28" s="36"/>
      <c r="C28" s="41"/>
      <c r="D28" s="75" t="s">
        <v>100</v>
      </c>
      <c r="E28" s="39">
        <v>1</v>
      </c>
      <c r="F28" s="76">
        <v>1443</v>
      </c>
      <c r="G28" s="40">
        <f t="shared" si="1"/>
        <v>1443</v>
      </c>
    </row>
    <row r="29" spans="1:7" ht="16.5" x14ac:dyDescent="0.35">
      <c r="A29" s="35"/>
      <c r="B29" s="36"/>
      <c r="C29" s="41"/>
      <c r="D29" s="75" t="s">
        <v>101</v>
      </c>
      <c r="E29" s="39">
        <v>1</v>
      </c>
      <c r="F29" s="77">
        <v>7246</v>
      </c>
      <c r="G29" s="40">
        <f t="shared" si="1"/>
        <v>7246</v>
      </c>
    </row>
    <row r="30" spans="1:7" x14ac:dyDescent="0.25">
      <c r="A30" s="35"/>
      <c r="B30" s="36"/>
      <c r="C30" s="41"/>
      <c r="D30" s="38"/>
      <c r="E30" s="43"/>
      <c r="F30" s="81">
        <f>SUM(F25:F29)</f>
        <v>15605.779999999999</v>
      </c>
      <c r="G30" s="40"/>
    </row>
    <row r="31" spans="1:7" x14ac:dyDescent="0.25">
      <c r="A31" s="35"/>
      <c r="B31" s="36"/>
      <c r="C31" s="41"/>
      <c r="D31" s="38"/>
      <c r="E31" s="43"/>
      <c r="F31" s="43"/>
      <c r="G31" s="40"/>
    </row>
    <row r="32" spans="1:7" x14ac:dyDescent="0.25">
      <c r="A32" s="35">
        <v>3</v>
      </c>
      <c r="B32" s="36"/>
      <c r="C32" s="37" t="s">
        <v>96</v>
      </c>
      <c r="D32" s="78" t="s">
        <v>102</v>
      </c>
      <c r="E32" s="39">
        <v>1</v>
      </c>
      <c r="F32" s="76">
        <v>2402.04</v>
      </c>
      <c r="G32" s="40">
        <f t="shared" ref="G32:G36" si="2">+E32*F32</f>
        <v>2402.04</v>
      </c>
    </row>
    <row r="33" spans="1:7" x14ac:dyDescent="0.25">
      <c r="A33" s="35"/>
      <c r="B33" s="36"/>
      <c r="C33" s="41"/>
      <c r="D33" s="78" t="s">
        <v>103</v>
      </c>
      <c r="E33" s="39">
        <v>1</v>
      </c>
      <c r="F33" s="73">
        <v>2247.75</v>
      </c>
      <c r="G33" s="40">
        <f t="shared" si="2"/>
        <v>2247.75</v>
      </c>
    </row>
    <row r="34" spans="1:7" x14ac:dyDescent="0.25">
      <c r="A34" s="35"/>
      <c r="B34" s="36"/>
      <c r="C34" s="41"/>
      <c r="D34" s="78" t="s">
        <v>104</v>
      </c>
      <c r="E34" s="39">
        <v>1</v>
      </c>
      <c r="F34" s="73">
        <v>560.54999999999995</v>
      </c>
      <c r="G34" s="40">
        <f t="shared" si="2"/>
        <v>560.54999999999995</v>
      </c>
    </row>
    <row r="35" spans="1:7" x14ac:dyDescent="0.25">
      <c r="A35" s="35"/>
      <c r="B35" s="36"/>
      <c r="C35" s="41"/>
      <c r="D35" s="72" t="s">
        <v>105</v>
      </c>
      <c r="E35" s="39">
        <v>1</v>
      </c>
      <c r="F35" s="79">
        <v>864.93420000000003</v>
      </c>
      <c r="G35" s="40">
        <f t="shared" si="2"/>
        <v>864.93420000000003</v>
      </c>
    </row>
    <row r="36" spans="1:7" ht="16.5" x14ac:dyDescent="0.35">
      <c r="A36" s="35"/>
      <c r="B36" s="36"/>
      <c r="C36" s="41"/>
      <c r="D36" s="78" t="s">
        <v>106</v>
      </c>
      <c r="E36" s="39">
        <v>1</v>
      </c>
      <c r="F36" s="80">
        <v>112.12110000000001</v>
      </c>
      <c r="G36" s="40">
        <f t="shared" si="2"/>
        <v>112.12110000000001</v>
      </c>
    </row>
    <row r="37" spans="1:7" x14ac:dyDescent="0.25">
      <c r="A37" s="35"/>
      <c r="B37" s="36"/>
      <c r="C37" s="41"/>
      <c r="D37" s="78"/>
      <c r="E37" s="39"/>
      <c r="F37" s="81">
        <f>SUM(F32:F36)</f>
        <v>6187.3953000000001</v>
      </c>
      <c r="G37" s="40"/>
    </row>
    <row r="38" spans="1:7" ht="16.5" x14ac:dyDescent="0.35">
      <c r="A38" s="35"/>
      <c r="B38" s="36"/>
      <c r="C38" s="41"/>
      <c r="D38" s="38"/>
      <c r="E38" s="39"/>
      <c r="F38" s="42"/>
      <c r="G38" s="40"/>
    </row>
    <row r="39" spans="1:7" x14ac:dyDescent="0.25">
      <c r="A39" s="35">
        <v>4</v>
      </c>
      <c r="B39" s="36"/>
      <c r="C39" s="37" t="s">
        <v>107</v>
      </c>
      <c r="D39" s="38" t="s">
        <v>63</v>
      </c>
      <c r="E39" s="39">
        <v>30</v>
      </c>
      <c r="F39" s="39">
        <v>27</v>
      </c>
      <c r="G39" s="40">
        <f t="shared" ref="G39:G42" si="3">+E39*F39</f>
        <v>810</v>
      </c>
    </row>
    <row r="40" spans="1:7" x14ac:dyDescent="0.25">
      <c r="A40" s="35"/>
      <c r="B40" s="36"/>
      <c r="C40" s="41"/>
      <c r="D40" s="38" t="s">
        <v>64</v>
      </c>
      <c r="E40" s="39">
        <v>1</v>
      </c>
      <c r="F40" s="39">
        <v>450</v>
      </c>
      <c r="G40" s="40">
        <f t="shared" si="3"/>
        <v>450</v>
      </c>
    </row>
    <row r="41" spans="1:7" x14ac:dyDescent="0.25">
      <c r="A41" s="35"/>
      <c r="B41" s="36"/>
      <c r="C41" s="41"/>
      <c r="D41" s="38" t="s">
        <v>65</v>
      </c>
      <c r="E41" s="39">
        <v>1</v>
      </c>
      <c r="F41" s="39">
        <v>6152</v>
      </c>
      <c r="G41" s="40">
        <f t="shared" si="3"/>
        <v>6152</v>
      </c>
    </row>
    <row r="42" spans="1:7" ht="16.5" x14ac:dyDescent="0.35">
      <c r="A42" s="35"/>
      <c r="B42" s="36"/>
      <c r="C42" s="41"/>
      <c r="D42" s="38" t="s">
        <v>66</v>
      </c>
      <c r="E42" s="39">
        <v>10</v>
      </c>
      <c r="F42" s="42">
        <v>30.8</v>
      </c>
      <c r="G42" s="40">
        <f t="shared" si="3"/>
        <v>308</v>
      </c>
    </row>
    <row r="43" spans="1:7" x14ac:dyDescent="0.25">
      <c r="A43" s="35"/>
      <c r="B43" s="36"/>
      <c r="C43" s="41"/>
      <c r="D43" s="38"/>
      <c r="E43" s="39"/>
      <c r="F43" s="81">
        <f>SUM(F39:F42)</f>
        <v>6659.8</v>
      </c>
      <c r="G43" s="40"/>
    </row>
    <row r="44" spans="1:7" ht="16.5" x14ac:dyDescent="0.35">
      <c r="A44" s="35"/>
      <c r="B44" s="36"/>
      <c r="C44" s="41"/>
      <c r="D44" s="38"/>
      <c r="E44" s="39"/>
      <c r="F44" s="42"/>
      <c r="G44" s="40"/>
    </row>
    <row r="45" spans="1:7" x14ac:dyDescent="0.25">
      <c r="A45" s="35">
        <v>5</v>
      </c>
      <c r="B45" s="36"/>
      <c r="C45" s="37" t="s">
        <v>108</v>
      </c>
      <c r="D45" s="78" t="s">
        <v>109</v>
      </c>
      <c r="E45" s="39">
        <v>1</v>
      </c>
      <c r="F45" s="50">
        <v>4134</v>
      </c>
      <c r="G45" s="40">
        <f t="shared" ref="G45:G50" si="4">+E45*F45</f>
        <v>4134</v>
      </c>
    </row>
    <row r="46" spans="1:7" x14ac:dyDescent="0.25">
      <c r="A46" s="35"/>
      <c r="B46" s="36"/>
      <c r="C46" s="41"/>
      <c r="D46" s="75" t="s">
        <v>110</v>
      </c>
      <c r="E46" s="39">
        <v>1</v>
      </c>
      <c r="F46" s="50">
        <v>416</v>
      </c>
      <c r="G46" s="40">
        <f t="shared" si="4"/>
        <v>416</v>
      </c>
    </row>
    <row r="47" spans="1:7" x14ac:dyDescent="0.25">
      <c r="A47" s="35"/>
      <c r="B47" s="36"/>
      <c r="C47" s="41"/>
      <c r="D47" s="78" t="s">
        <v>111</v>
      </c>
      <c r="E47" s="39">
        <v>1</v>
      </c>
      <c r="F47" s="76">
        <v>234</v>
      </c>
      <c r="G47" s="40">
        <f t="shared" si="4"/>
        <v>234</v>
      </c>
    </row>
    <row r="48" spans="1:7" x14ac:dyDescent="0.25">
      <c r="A48" s="35"/>
      <c r="B48" s="36"/>
      <c r="C48" s="41"/>
      <c r="D48" s="78" t="s">
        <v>112</v>
      </c>
      <c r="E48" s="39">
        <v>1</v>
      </c>
      <c r="F48" s="73">
        <v>104.78</v>
      </c>
      <c r="G48" s="40">
        <f t="shared" si="4"/>
        <v>104.78</v>
      </c>
    </row>
    <row r="49" spans="1:8" x14ac:dyDescent="0.25">
      <c r="A49" s="35"/>
      <c r="B49" s="36"/>
      <c r="C49" s="41"/>
      <c r="D49" s="78" t="s">
        <v>135</v>
      </c>
      <c r="E49" s="39">
        <v>1</v>
      </c>
      <c r="F49" s="73">
        <v>1768</v>
      </c>
      <c r="G49" s="40">
        <f t="shared" si="4"/>
        <v>1768</v>
      </c>
    </row>
    <row r="50" spans="1:8" ht="16.5" x14ac:dyDescent="0.35">
      <c r="A50" s="35"/>
      <c r="B50" s="36"/>
      <c r="C50" s="41"/>
      <c r="D50" s="78" t="s">
        <v>60</v>
      </c>
      <c r="E50" s="39">
        <v>1</v>
      </c>
      <c r="F50" s="82">
        <v>1170</v>
      </c>
      <c r="G50" s="40">
        <f t="shared" si="4"/>
        <v>1170</v>
      </c>
    </row>
    <row r="51" spans="1:8" x14ac:dyDescent="0.25">
      <c r="A51" s="35"/>
      <c r="B51" s="36"/>
      <c r="C51" s="41"/>
      <c r="D51" s="38"/>
      <c r="E51" s="39"/>
      <c r="F51" s="81">
        <f>SUM(F45:F50)</f>
        <v>7826.78</v>
      </c>
      <c r="G51" s="40"/>
    </row>
    <row r="52" spans="1:8" x14ac:dyDescent="0.25">
      <c r="A52" s="35"/>
      <c r="B52" s="36"/>
      <c r="C52" s="41"/>
      <c r="D52" s="38"/>
      <c r="E52" s="39"/>
      <c r="F52" s="39"/>
      <c r="G52" s="40"/>
    </row>
    <row r="53" spans="1:8" x14ac:dyDescent="0.25">
      <c r="A53" s="35">
        <v>6</v>
      </c>
      <c r="B53" s="36"/>
      <c r="C53" s="37" t="s">
        <v>114</v>
      </c>
      <c r="D53" s="78" t="s">
        <v>111</v>
      </c>
      <c r="E53" s="39">
        <v>1</v>
      </c>
      <c r="F53" s="76">
        <v>234</v>
      </c>
      <c r="G53" s="40">
        <f t="shared" ref="G53:G57" si="5">+E53*F53</f>
        <v>234</v>
      </c>
    </row>
    <row r="54" spans="1:8" x14ac:dyDescent="0.25">
      <c r="A54" s="35"/>
      <c r="B54" s="36"/>
      <c r="C54" s="41"/>
      <c r="D54" s="78" t="s">
        <v>112</v>
      </c>
      <c r="E54" s="39">
        <v>1</v>
      </c>
      <c r="F54" s="73">
        <v>104.78</v>
      </c>
      <c r="G54" s="40">
        <f t="shared" si="5"/>
        <v>104.78</v>
      </c>
    </row>
    <row r="55" spans="1:8" x14ac:dyDescent="0.25">
      <c r="A55" s="35"/>
      <c r="B55" s="36"/>
      <c r="C55" s="41"/>
      <c r="D55" s="78" t="s">
        <v>60</v>
      </c>
      <c r="E55" s="39">
        <v>1</v>
      </c>
      <c r="F55" s="73">
        <v>1170</v>
      </c>
      <c r="G55" s="40">
        <f t="shared" si="5"/>
        <v>1170</v>
      </c>
    </row>
    <row r="56" spans="1:8" x14ac:dyDescent="0.25">
      <c r="A56" s="35"/>
      <c r="B56" s="36"/>
      <c r="C56" s="41"/>
      <c r="D56" s="78" t="s">
        <v>133</v>
      </c>
      <c r="E56" s="39">
        <v>1</v>
      </c>
      <c r="F56" s="79">
        <v>6152</v>
      </c>
      <c r="G56" s="40">
        <f t="shared" si="5"/>
        <v>6152</v>
      </c>
    </row>
    <row r="57" spans="1:8" ht="16.5" x14ac:dyDescent="0.35">
      <c r="A57" s="35"/>
      <c r="B57" s="36"/>
      <c r="C57" s="41"/>
      <c r="D57" s="78" t="s">
        <v>124</v>
      </c>
      <c r="E57" s="39">
        <v>1</v>
      </c>
      <c r="F57" s="42">
        <v>3710</v>
      </c>
      <c r="G57" s="40">
        <f t="shared" si="5"/>
        <v>3710</v>
      </c>
      <c r="H57" s="85"/>
    </row>
    <row r="58" spans="1:8" x14ac:dyDescent="0.25">
      <c r="A58" s="35"/>
      <c r="B58" s="36"/>
      <c r="C58" s="41"/>
      <c r="D58" s="38"/>
      <c r="E58" s="39"/>
      <c r="F58" s="81">
        <f>SUM(F53:F57)</f>
        <v>11370.779999999999</v>
      </c>
      <c r="G58" s="40"/>
    </row>
    <row r="59" spans="1:8" ht="16.5" x14ac:dyDescent="0.35">
      <c r="A59" s="35"/>
      <c r="B59" s="36"/>
      <c r="C59" s="41"/>
      <c r="D59" s="38"/>
      <c r="E59" s="39"/>
      <c r="F59" s="42"/>
      <c r="G59" s="40"/>
    </row>
    <row r="60" spans="1:8" x14ac:dyDescent="0.25">
      <c r="A60" s="35">
        <v>7</v>
      </c>
      <c r="B60" s="36"/>
      <c r="C60" s="37" t="s">
        <v>16</v>
      </c>
      <c r="D60" s="78" t="s">
        <v>111</v>
      </c>
      <c r="E60" s="39">
        <v>1</v>
      </c>
      <c r="F60" s="50">
        <v>234</v>
      </c>
      <c r="G60" s="40">
        <f t="shared" ref="G60:G64" si="6">+E60*F60</f>
        <v>234</v>
      </c>
    </row>
    <row r="61" spans="1:8" x14ac:dyDescent="0.25">
      <c r="A61" s="35"/>
      <c r="B61" s="36"/>
      <c r="C61" s="41"/>
      <c r="D61" s="75" t="s">
        <v>112</v>
      </c>
      <c r="E61" s="39">
        <v>1</v>
      </c>
      <c r="F61" s="50">
        <v>104.78</v>
      </c>
      <c r="G61" s="40">
        <f t="shared" si="6"/>
        <v>104.78</v>
      </c>
    </row>
    <row r="62" spans="1:8" x14ac:dyDescent="0.25">
      <c r="A62" s="35"/>
      <c r="B62" s="36"/>
      <c r="C62" s="41"/>
      <c r="D62" s="78" t="s">
        <v>60</v>
      </c>
      <c r="E62" s="39">
        <v>1</v>
      </c>
      <c r="F62" s="76">
        <v>1170</v>
      </c>
      <c r="G62" s="40">
        <f t="shared" si="6"/>
        <v>1170</v>
      </c>
    </row>
    <row r="63" spans="1:8" x14ac:dyDescent="0.25">
      <c r="A63" s="35"/>
      <c r="B63" s="36"/>
      <c r="C63" s="41"/>
      <c r="D63" s="78" t="s">
        <v>133</v>
      </c>
      <c r="E63" s="39">
        <v>1</v>
      </c>
      <c r="F63" s="73">
        <v>6152</v>
      </c>
      <c r="G63" s="40">
        <f t="shared" si="6"/>
        <v>6152</v>
      </c>
    </row>
    <row r="64" spans="1:8" ht="16.5" x14ac:dyDescent="0.35">
      <c r="A64" s="35"/>
      <c r="B64" s="36"/>
      <c r="C64" s="41"/>
      <c r="D64" s="78" t="s">
        <v>134</v>
      </c>
      <c r="E64" s="39">
        <v>1</v>
      </c>
      <c r="F64" s="82">
        <v>4452</v>
      </c>
      <c r="G64" s="40">
        <f t="shared" si="6"/>
        <v>4452</v>
      </c>
    </row>
    <row r="65" spans="1:7" x14ac:dyDescent="0.25">
      <c r="A65" s="35"/>
      <c r="B65" s="36"/>
      <c r="C65" s="41"/>
      <c r="D65" s="38"/>
      <c r="E65" s="39"/>
      <c r="F65" s="81">
        <f>SUM(F60:F64)</f>
        <v>12112.779999999999</v>
      </c>
      <c r="G65" s="40"/>
    </row>
    <row r="66" spans="1:7" ht="16.5" x14ac:dyDescent="0.35">
      <c r="A66" s="35"/>
      <c r="B66" s="36"/>
      <c r="C66" s="41"/>
      <c r="D66" s="38"/>
      <c r="E66" s="39"/>
      <c r="F66" s="42"/>
      <c r="G66" s="40"/>
    </row>
    <row r="67" spans="1:7" x14ac:dyDescent="0.25">
      <c r="A67" s="35">
        <v>8</v>
      </c>
      <c r="B67" s="36"/>
      <c r="C67" s="37" t="s">
        <v>115</v>
      </c>
      <c r="D67" s="78" t="s">
        <v>119</v>
      </c>
      <c r="E67" s="39">
        <v>1</v>
      </c>
      <c r="F67" s="50">
        <v>6839</v>
      </c>
      <c r="G67" s="40">
        <f t="shared" ref="G67:G71" si="7">+E67*F67</f>
        <v>6839</v>
      </c>
    </row>
    <row r="68" spans="1:7" x14ac:dyDescent="0.25">
      <c r="A68" s="35"/>
      <c r="B68" s="36"/>
      <c r="C68" s="41"/>
      <c r="D68" s="78" t="s">
        <v>111</v>
      </c>
      <c r="E68" s="39">
        <v>1</v>
      </c>
      <c r="F68" s="76">
        <v>234</v>
      </c>
      <c r="G68" s="40">
        <f t="shared" si="7"/>
        <v>234</v>
      </c>
    </row>
    <row r="69" spans="1:7" x14ac:dyDescent="0.25">
      <c r="A69" s="35"/>
      <c r="B69" s="36"/>
      <c r="C69" s="41"/>
      <c r="D69" s="78" t="s">
        <v>112</v>
      </c>
      <c r="E69" s="39">
        <v>1</v>
      </c>
      <c r="F69" s="73">
        <v>104.78</v>
      </c>
      <c r="G69" s="40">
        <f t="shared" si="7"/>
        <v>104.78</v>
      </c>
    </row>
    <row r="70" spans="1:7" x14ac:dyDescent="0.25">
      <c r="A70" s="35"/>
      <c r="B70" s="36"/>
      <c r="C70" s="41"/>
      <c r="D70" s="78" t="s">
        <v>120</v>
      </c>
      <c r="E70" s="39">
        <v>1</v>
      </c>
      <c r="F70" s="73">
        <v>1410</v>
      </c>
      <c r="G70" s="40">
        <f t="shared" si="7"/>
        <v>1410</v>
      </c>
    </row>
    <row r="71" spans="1:7" ht="16.5" x14ac:dyDescent="0.35">
      <c r="A71" s="35"/>
      <c r="B71" s="36"/>
      <c r="C71" s="41"/>
      <c r="D71" s="78" t="s">
        <v>133</v>
      </c>
      <c r="E71" s="43">
        <v>1</v>
      </c>
      <c r="F71" s="80">
        <v>6152</v>
      </c>
      <c r="G71" s="40">
        <f t="shared" si="7"/>
        <v>6152</v>
      </c>
    </row>
    <row r="72" spans="1:7" x14ac:dyDescent="0.25">
      <c r="A72" s="35"/>
      <c r="B72" s="36"/>
      <c r="C72" s="41"/>
      <c r="D72" s="38"/>
      <c r="E72" s="39"/>
      <c r="F72" s="81">
        <f>SUM(F67:F71)</f>
        <v>14739.779999999999</v>
      </c>
      <c r="G72" s="40"/>
    </row>
    <row r="73" spans="1:7" ht="16.5" x14ac:dyDescent="0.35">
      <c r="A73" s="35"/>
      <c r="B73" s="36"/>
      <c r="C73" s="41"/>
      <c r="D73" s="38"/>
      <c r="E73" s="39"/>
      <c r="F73" s="42"/>
      <c r="G73" s="40"/>
    </row>
    <row r="74" spans="1:7" x14ac:dyDescent="0.25">
      <c r="A74" s="35">
        <v>9</v>
      </c>
      <c r="B74" s="36"/>
      <c r="C74" s="37" t="s">
        <v>23</v>
      </c>
      <c r="D74" s="78" t="s">
        <v>111</v>
      </c>
      <c r="E74" s="39">
        <v>1</v>
      </c>
      <c r="F74" s="76">
        <v>234</v>
      </c>
      <c r="G74" s="40">
        <f t="shared" ref="G74:G78" si="8">+E74*F74</f>
        <v>234</v>
      </c>
    </row>
    <row r="75" spans="1:7" x14ac:dyDescent="0.25">
      <c r="A75" s="35"/>
      <c r="B75" s="36"/>
      <c r="C75" s="41"/>
      <c r="D75" s="78" t="s">
        <v>112</v>
      </c>
      <c r="E75" s="39">
        <v>1</v>
      </c>
      <c r="F75" s="73">
        <v>104.78</v>
      </c>
      <c r="G75" s="40">
        <f t="shared" si="8"/>
        <v>104.78</v>
      </c>
    </row>
    <row r="76" spans="1:7" x14ac:dyDescent="0.25">
      <c r="A76" s="35"/>
      <c r="B76" s="36"/>
      <c r="C76" s="41"/>
      <c r="D76" s="78" t="s">
        <v>120</v>
      </c>
      <c r="E76" s="39">
        <v>1</v>
      </c>
      <c r="F76" s="73">
        <v>1410</v>
      </c>
      <c r="G76" s="40">
        <f t="shared" si="8"/>
        <v>1410</v>
      </c>
    </row>
    <row r="77" spans="1:7" x14ac:dyDescent="0.25">
      <c r="A77" s="35"/>
      <c r="B77" s="36"/>
      <c r="C77" s="41"/>
      <c r="D77" s="78" t="s">
        <v>133</v>
      </c>
      <c r="E77" s="39">
        <v>1</v>
      </c>
      <c r="F77" s="79">
        <v>6152</v>
      </c>
      <c r="G77" s="40">
        <f t="shared" si="8"/>
        <v>6152</v>
      </c>
    </row>
    <row r="78" spans="1:7" ht="16.5" x14ac:dyDescent="0.35">
      <c r="A78" s="35"/>
      <c r="B78" s="36"/>
      <c r="C78" s="41"/>
      <c r="D78" s="78" t="s">
        <v>124</v>
      </c>
      <c r="E78" s="39">
        <v>1</v>
      </c>
      <c r="F78" s="42">
        <v>3673</v>
      </c>
      <c r="G78" s="40">
        <f t="shared" si="8"/>
        <v>3673</v>
      </c>
    </row>
    <row r="79" spans="1:7" x14ac:dyDescent="0.25">
      <c r="A79" s="35"/>
      <c r="B79" s="36"/>
      <c r="C79" s="41"/>
      <c r="D79" s="38"/>
      <c r="E79" s="39"/>
      <c r="F79" s="81">
        <f>SUM(F74:F78)</f>
        <v>11573.779999999999</v>
      </c>
      <c r="G79" s="40"/>
    </row>
    <row r="80" spans="1:7" x14ac:dyDescent="0.25">
      <c r="A80" s="35"/>
      <c r="B80" s="36"/>
      <c r="C80" s="41"/>
      <c r="D80" s="38"/>
      <c r="E80" s="39"/>
      <c r="F80" s="39"/>
      <c r="G80" s="40"/>
    </row>
    <row r="81" spans="1:7" x14ac:dyDescent="0.25">
      <c r="A81" s="35">
        <v>10</v>
      </c>
      <c r="B81" s="36"/>
      <c r="C81" s="37" t="s">
        <v>15</v>
      </c>
      <c r="D81" s="78" t="s">
        <v>111</v>
      </c>
      <c r="E81" s="39">
        <v>1</v>
      </c>
      <c r="F81" s="50">
        <v>234</v>
      </c>
      <c r="G81" s="40">
        <f t="shared" ref="G81:G84" si="9">+E81*F81</f>
        <v>234</v>
      </c>
    </row>
    <row r="82" spans="1:7" x14ac:dyDescent="0.25">
      <c r="A82" s="35"/>
      <c r="B82" s="36"/>
      <c r="C82" s="41"/>
      <c r="D82" s="75" t="s">
        <v>120</v>
      </c>
      <c r="E82" s="39">
        <v>1</v>
      </c>
      <c r="F82" s="50">
        <v>1410</v>
      </c>
      <c r="G82" s="40">
        <f t="shared" si="9"/>
        <v>1410</v>
      </c>
    </row>
    <row r="83" spans="1:7" x14ac:dyDescent="0.25">
      <c r="A83" s="35"/>
      <c r="B83" s="36"/>
      <c r="C83" s="41"/>
      <c r="D83" s="78" t="s">
        <v>118</v>
      </c>
      <c r="E83" s="39">
        <v>1</v>
      </c>
      <c r="F83" s="76">
        <v>7420</v>
      </c>
      <c r="G83" s="40">
        <f t="shared" si="9"/>
        <v>7420</v>
      </c>
    </row>
    <row r="84" spans="1:7" x14ac:dyDescent="0.25">
      <c r="A84" s="35"/>
      <c r="B84" s="36"/>
      <c r="C84" s="41"/>
      <c r="D84" s="78" t="s">
        <v>110</v>
      </c>
      <c r="E84" s="39">
        <v>1</v>
      </c>
      <c r="F84" s="73">
        <v>416</v>
      </c>
      <c r="G84" s="40">
        <f t="shared" si="9"/>
        <v>416</v>
      </c>
    </row>
    <row r="85" spans="1:7" x14ac:dyDescent="0.25">
      <c r="A85" s="35"/>
      <c r="B85" s="36"/>
      <c r="C85" s="41"/>
      <c r="D85" s="38"/>
      <c r="E85" s="39"/>
      <c r="F85" s="81">
        <f>SUM(F81:F84)</f>
        <v>9480</v>
      </c>
      <c r="G85" s="40"/>
    </row>
    <row r="86" spans="1:7" x14ac:dyDescent="0.25">
      <c r="A86" s="35"/>
      <c r="B86" s="36"/>
      <c r="C86" s="41"/>
      <c r="D86" s="38"/>
      <c r="E86" s="39"/>
      <c r="F86" s="39"/>
      <c r="G86" s="40"/>
    </row>
    <row r="87" spans="1:7" ht="14.25" customHeight="1" x14ac:dyDescent="0.25">
      <c r="A87" s="35">
        <v>11</v>
      </c>
      <c r="B87" s="36"/>
      <c r="C87" s="37" t="s">
        <v>17</v>
      </c>
      <c r="D87" s="78" t="s">
        <v>111</v>
      </c>
      <c r="E87" s="39">
        <v>1</v>
      </c>
      <c r="F87" s="50">
        <v>234</v>
      </c>
      <c r="G87" s="40">
        <f t="shared" ref="G87:G89" si="10">+E87*F87</f>
        <v>234</v>
      </c>
    </row>
    <row r="88" spans="1:7" ht="14.25" customHeight="1" x14ac:dyDescent="0.25">
      <c r="A88" s="35"/>
      <c r="B88" s="36"/>
      <c r="C88" s="41"/>
      <c r="D88" s="75" t="s">
        <v>60</v>
      </c>
      <c r="E88" s="39">
        <v>1</v>
      </c>
      <c r="F88" s="50">
        <v>1170</v>
      </c>
      <c r="G88" s="40">
        <f t="shared" si="10"/>
        <v>1170</v>
      </c>
    </row>
    <row r="89" spans="1:7" ht="14.25" customHeight="1" x14ac:dyDescent="0.25">
      <c r="A89" s="35"/>
      <c r="B89" s="36"/>
      <c r="C89" s="41"/>
      <c r="D89" s="78" t="s">
        <v>116</v>
      </c>
      <c r="E89" s="39">
        <v>1</v>
      </c>
      <c r="F89" s="76">
        <v>4089</v>
      </c>
      <c r="G89" s="40">
        <f t="shared" si="10"/>
        <v>4089</v>
      </c>
    </row>
    <row r="90" spans="1:7" ht="14.25" customHeight="1" x14ac:dyDescent="0.25">
      <c r="A90" s="35"/>
      <c r="B90" s="36"/>
      <c r="C90" s="41"/>
      <c r="D90" s="38"/>
      <c r="E90" s="39"/>
      <c r="F90" s="81">
        <f>SUM(F87:F89)</f>
        <v>5493</v>
      </c>
      <c r="G90" s="40"/>
    </row>
    <row r="91" spans="1:7" ht="14.25" customHeight="1" x14ac:dyDescent="0.25">
      <c r="A91" s="35"/>
      <c r="B91" s="36"/>
      <c r="C91" s="41"/>
      <c r="D91" s="38"/>
      <c r="E91" s="39"/>
      <c r="F91" s="39"/>
      <c r="G91" s="40"/>
    </row>
    <row r="92" spans="1:7" ht="14.25" customHeight="1" x14ac:dyDescent="0.25">
      <c r="A92" s="35">
        <v>12</v>
      </c>
      <c r="B92" s="36"/>
      <c r="C92" s="37" t="s">
        <v>18</v>
      </c>
      <c r="D92" s="78" t="s">
        <v>111</v>
      </c>
      <c r="E92" s="39">
        <v>1</v>
      </c>
      <c r="F92" s="50">
        <v>234</v>
      </c>
      <c r="G92" s="40">
        <f t="shared" ref="G92:G94" si="11">+E92*F92</f>
        <v>234</v>
      </c>
    </row>
    <row r="93" spans="1:7" ht="14.25" customHeight="1" x14ac:dyDescent="0.25">
      <c r="A93" s="35"/>
      <c r="B93" s="36"/>
      <c r="C93" s="41"/>
      <c r="D93" s="75" t="s">
        <v>117</v>
      </c>
      <c r="E93" s="39">
        <v>1</v>
      </c>
      <c r="F93" s="50">
        <v>4089</v>
      </c>
      <c r="G93" s="40">
        <f t="shared" si="11"/>
        <v>4089</v>
      </c>
    </row>
    <row r="94" spans="1:7" ht="14.25" customHeight="1" x14ac:dyDescent="0.25">
      <c r="A94" s="35"/>
      <c r="B94" s="36"/>
      <c r="C94" s="41"/>
      <c r="D94" s="78" t="s">
        <v>60</v>
      </c>
      <c r="E94" s="39">
        <v>1</v>
      </c>
      <c r="F94" s="73">
        <v>1170</v>
      </c>
      <c r="G94" s="40">
        <f t="shared" si="11"/>
        <v>1170</v>
      </c>
    </row>
    <row r="95" spans="1:7" ht="14.25" customHeight="1" x14ac:dyDescent="0.25">
      <c r="A95" s="35"/>
      <c r="B95" s="36"/>
      <c r="C95" s="41"/>
      <c r="D95" s="38"/>
      <c r="E95" s="39"/>
      <c r="F95" s="81">
        <f>SUM(F92:F94)</f>
        <v>5493</v>
      </c>
      <c r="G95" s="40"/>
    </row>
    <row r="96" spans="1:7" x14ac:dyDescent="0.25">
      <c r="A96" s="35"/>
      <c r="B96" s="36"/>
      <c r="C96" s="41"/>
      <c r="D96" s="38"/>
      <c r="E96" s="39"/>
      <c r="F96" s="39"/>
      <c r="G96" s="40"/>
    </row>
    <row r="97" spans="1:7" ht="14.25" customHeight="1" x14ac:dyDescent="0.25">
      <c r="A97" s="35">
        <v>13</v>
      </c>
      <c r="B97" s="36"/>
      <c r="C97" s="37" t="s">
        <v>19</v>
      </c>
      <c r="D97" s="78" t="s">
        <v>121</v>
      </c>
      <c r="E97" s="39">
        <v>1</v>
      </c>
      <c r="F97" s="50">
        <v>620</v>
      </c>
      <c r="G97" s="40">
        <f t="shared" ref="G97:G99" si="12">+E97*F97</f>
        <v>620</v>
      </c>
    </row>
    <row r="98" spans="1:7" ht="14.25" customHeight="1" x14ac:dyDescent="0.25">
      <c r="A98" s="35"/>
      <c r="B98" s="36"/>
      <c r="C98" s="41"/>
      <c r="D98" s="75" t="s">
        <v>122</v>
      </c>
      <c r="E98" s="39">
        <v>1</v>
      </c>
      <c r="F98" s="50">
        <v>6152</v>
      </c>
      <c r="G98" s="40">
        <f t="shared" si="12"/>
        <v>6152</v>
      </c>
    </row>
    <row r="99" spans="1:7" ht="14.25" customHeight="1" x14ac:dyDescent="0.25">
      <c r="A99" s="35"/>
      <c r="B99" s="36"/>
      <c r="C99" s="41"/>
      <c r="D99" s="78" t="s">
        <v>123</v>
      </c>
      <c r="E99" s="39">
        <v>1</v>
      </c>
      <c r="F99" s="76">
        <v>23705.1</v>
      </c>
      <c r="G99" s="40">
        <f t="shared" si="12"/>
        <v>23705.1</v>
      </c>
    </row>
    <row r="100" spans="1:7" ht="14.25" customHeight="1" x14ac:dyDescent="0.25">
      <c r="A100" s="35"/>
      <c r="B100" s="36"/>
      <c r="C100" s="41"/>
      <c r="D100" s="38"/>
      <c r="E100" s="39"/>
      <c r="F100" s="81">
        <f>SUM(F97:F99)</f>
        <v>30477.1</v>
      </c>
      <c r="G100" s="40"/>
    </row>
    <row r="101" spans="1:7" ht="14.25" customHeight="1" x14ac:dyDescent="0.25">
      <c r="A101" s="35"/>
      <c r="B101" s="36"/>
      <c r="C101" s="41"/>
      <c r="D101" s="38"/>
      <c r="E101" s="39"/>
      <c r="F101" s="39"/>
      <c r="G101" s="40"/>
    </row>
    <row r="102" spans="1:7" ht="14.25" customHeight="1" x14ac:dyDescent="0.25">
      <c r="A102" s="35">
        <v>14</v>
      </c>
      <c r="B102" s="36"/>
      <c r="C102" s="37" t="s">
        <v>20</v>
      </c>
      <c r="D102" s="78" t="s">
        <v>121</v>
      </c>
      <c r="E102" s="39">
        <v>1</v>
      </c>
      <c r="F102" s="50">
        <v>620</v>
      </c>
      <c r="G102" s="40">
        <f t="shared" ref="G102:G103" si="13">+E102*F102</f>
        <v>620</v>
      </c>
    </row>
    <row r="103" spans="1:7" ht="14.25" customHeight="1" x14ac:dyDescent="0.25">
      <c r="A103" s="35"/>
      <c r="B103" s="36"/>
      <c r="C103" s="41"/>
      <c r="D103" s="75" t="s">
        <v>124</v>
      </c>
      <c r="E103" s="39">
        <v>1</v>
      </c>
      <c r="F103" s="50">
        <v>18000</v>
      </c>
      <c r="G103" s="40">
        <f t="shared" si="13"/>
        <v>18000</v>
      </c>
    </row>
    <row r="104" spans="1:7" ht="14.25" customHeight="1" x14ac:dyDescent="0.25">
      <c r="A104" s="35"/>
      <c r="B104" s="36"/>
      <c r="C104" s="41"/>
      <c r="D104" s="38"/>
      <c r="E104" s="39"/>
      <c r="F104" s="81">
        <f>SUM(F102:F103)</f>
        <v>18620</v>
      </c>
      <c r="G104" s="40"/>
    </row>
    <row r="105" spans="1:7" ht="14.25" customHeight="1" x14ac:dyDescent="0.25">
      <c r="A105" s="35"/>
      <c r="B105" s="36"/>
      <c r="C105" s="41"/>
      <c r="D105" s="38"/>
      <c r="E105" s="39"/>
      <c r="F105" s="39"/>
      <c r="G105" s="40"/>
    </row>
    <row r="106" spans="1:7" ht="14.25" customHeight="1" x14ac:dyDescent="0.25">
      <c r="A106" s="35">
        <v>15</v>
      </c>
      <c r="B106" s="36"/>
      <c r="C106" s="37" t="s">
        <v>21</v>
      </c>
      <c r="D106" s="78" t="s">
        <v>121</v>
      </c>
      <c r="E106" s="39">
        <v>1</v>
      </c>
      <c r="F106" s="50">
        <v>620</v>
      </c>
      <c r="G106" s="40">
        <f t="shared" ref="G106:G107" si="14">+E106*F106</f>
        <v>620</v>
      </c>
    </row>
    <row r="107" spans="1:7" ht="14.25" customHeight="1" x14ac:dyDescent="0.25">
      <c r="A107" s="35"/>
      <c r="B107" s="36"/>
      <c r="C107" s="41"/>
      <c r="D107" s="75" t="s">
        <v>124</v>
      </c>
      <c r="E107" s="39">
        <v>1</v>
      </c>
      <c r="F107" s="50">
        <v>11875</v>
      </c>
      <c r="G107" s="40">
        <f t="shared" si="14"/>
        <v>11875</v>
      </c>
    </row>
    <row r="108" spans="1:7" ht="14.25" customHeight="1" x14ac:dyDescent="0.25">
      <c r="A108" s="35"/>
      <c r="B108" s="36"/>
      <c r="C108" s="41"/>
      <c r="D108" s="38"/>
      <c r="E108" s="39"/>
      <c r="F108" s="81">
        <f>SUM(F106:F107)</f>
        <v>12495</v>
      </c>
      <c r="G108" s="40"/>
    </row>
    <row r="109" spans="1:7" ht="14.25" customHeight="1" x14ac:dyDescent="0.35">
      <c r="A109" s="35"/>
      <c r="B109" s="36"/>
      <c r="C109" s="41"/>
      <c r="D109" s="38"/>
      <c r="E109" s="43"/>
      <c r="F109" s="42"/>
      <c r="G109" s="40"/>
    </row>
    <row r="110" spans="1:7" x14ac:dyDescent="0.25">
      <c r="A110" s="45"/>
      <c r="B110" s="45"/>
      <c r="C110" s="25" t="s">
        <v>67</v>
      </c>
      <c r="D110" s="46"/>
      <c r="E110" s="46"/>
      <c r="F110" s="47">
        <f>SUM(G20:G108)</f>
        <v>194431.9853</v>
      </c>
      <c r="G110" s="46"/>
    </row>
    <row r="111" spans="1:7" x14ac:dyDescent="0.25">
      <c r="A111" s="48" t="s">
        <v>68</v>
      </c>
      <c r="B111" s="48"/>
      <c r="C111" s="41" t="s">
        <v>69</v>
      </c>
      <c r="D111" s="49" t="s">
        <v>70</v>
      </c>
      <c r="E111" s="50">
        <v>1</v>
      </c>
      <c r="F111" s="40">
        <v>9100</v>
      </c>
      <c r="G111" s="40">
        <f t="shared" ref="G111:G115" si="15">E111*F111</f>
        <v>9100</v>
      </c>
    </row>
    <row r="112" spans="1:7" x14ac:dyDescent="0.25">
      <c r="A112" s="35"/>
      <c r="B112" s="48"/>
      <c r="C112" s="51"/>
      <c r="D112" s="49" t="s">
        <v>71</v>
      </c>
      <c r="E112" s="50">
        <v>1</v>
      </c>
      <c r="F112" s="40">
        <v>463.5</v>
      </c>
      <c r="G112" s="40">
        <f t="shared" si="15"/>
        <v>463.5</v>
      </c>
    </row>
    <row r="113" spans="1:19" x14ac:dyDescent="0.25">
      <c r="A113" s="35"/>
      <c r="B113" s="48"/>
      <c r="C113" s="51"/>
      <c r="D113" s="49" t="s">
        <v>72</v>
      </c>
      <c r="E113" s="50">
        <v>1</v>
      </c>
      <c r="F113" s="40">
        <v>11400</v>
      </c>
      <c r="G113" s="40">
        <f t="shared" ref="G113" si="16">E113*F113</f>
        <v>11400</v>
      </c>
    </row>
    <row r="114" spans="1:19" x14ac:dyDescent="0.25">
      <c r="A114" s="35"/>
      <c r="B114" s="48"/>
      <c r="C114" s="51"/>
      <c r="D114" s="49"/>
      <c r="E114" s="50"/>
      <c r="F114" s="40"/>
      <c r="G114" s="40"/>
    </row>
    <row r="115" spans="1:19" ht="16.5" x14ac:dyDescent="0.35">
      <c r="A115" s="52"/>
      <c r="B115" s="53"/>
      <c r="C115" s="54"/>
      <c r="D115" s="55" t="s">
        <v>73</v>
      </c>
      <c r="E115" s="44">
        <v>1</v>
      </c>
      <c r="F115" s="56">
        <v>18000</v>
      </c>
      <c r="G115" s="57">
        <f t="shared" si="15"/>
        <v>18000</v>
      </c>
    </row>
    <row r="116" spans="1:19" x14ac:dyDescent="0.25">
      <c r="A116" s="45"/>
      <c r="B116" s="58"/>
      <c r="C116" s="25" t="s">
        <v>74</v>
      </c>
      <c r="D116" s="59"/>
      <c r="E116" s="46"/>
      <c r="F116" s="46">
        <f>SUM(F111:F115)</f>
        <v>38963.5</v>
      </c>
      <c r="G116" s="46"/>
    </row>
    <row r="117" spans="1:19" s="85" customFormat="1" x14ac:dyDescent="0.25">
      <c r="A117" s="84" t="s">
        <v>75</v>
      </c>
      <c r="B117" s="84"/>
      <c r="C117" s="84" t="s">
        <v>125</v>
      </c>
      <c r="D117" s="75" t="s">
        <v>126</v>
      </c>
      <c r="E117" s="50">
        <v>1</v>
      </c>
      <c r="F117" s="40">
        <v>27100</v>
      </c>
      <c r="G117" s="40">
        <f t="shared" ref="G117:G125" si="17">E117*F117</f>
        <v>27100</v>
      </c>
      <c r="H117"/>
    </row>
    <row r="118" spans="1:19" s="85" customFormat="1" x14ac:dyDescent="0.25">
      <c r="A118" s="83"/>
      <c r="B118" s="84"/>
      <c r="C118" s="86"/>
      <c r="D118" s="75" t="s">
        <v>127</v>
      </c>
      <c r="E118" s="50">
        <v>1</v>
      </c>
      <c r="F118" s="40">
        <v>94</v>
      </c>
      <c r="G118" s="40">
        <f t="shared" si="17"/>
        <v>94</v>
      </c>
      <c r="H118"/>
    </row>
    <row r="119" spans="1:19" s="87" customFormat="1" ht="16.5" x14ac:dyDescent="0.35">
      <c r="A119" s="35"/>
      <c r="B119" s="48"/>
      <c r="C119" s="51"/>
      <c r="D119" s="49" t="s">
        <v>128</v>
      </c>
      <c r="E119" s="50">
        <v>1</v>
      </c>
      <c r="F119" s="63">
        <v>18000</v>
      </c>
      <c r="G119" s="40">
        <f t="shared" si="17"/>
        <v>18000</v>
      </c>
      <c r="H119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1:19" s="87" customFormat="1" x14ac:dyDescent="0.25">
      <c r="A120" s="35"/>
      <c r="B120" s="48"/>
      <c r="C120" s="51"/>
      <c r="D120" s="49"/>
      <c r="E120" s="50"/>
      <c r="F120" s="81">
        <f>SUM(F117:F119)</f>
        <v>45194</v>
      </c>
      <c r="G120" s="40"/>
      <c r="H120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1:19" s="87" customFormat="1" x14ac:dyDescent="0.25">
      <c r="A121" s="35"/>
      <c r="B121" s="48"/>
      <c r="C121" s="51"/>
      <c r="D121" s="49"/>
      <c r="E121" s="50"/>
      <c r="F121" s="40"/>
      <c r="G121" s="40"/>
      <c r="H121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 s="87" customFormat="1" x14ac:dyDescent="0.25">
      <c r="A122" s="35"/>
      <c r="B122" s="48"/>
      <c r="C122" s="48" t="s">
        <v>12</v>
      </c>
      <c r="D122" s="49" t="s">
        <v>129</v>
      </c>
      <c r="E122" s="50">
        <v>2</v>
      </c>
      <c r="F122" s="40">
        <v>332</v>
      </c>
      <c r="G122" s="40">
        <f t="shared" si="17"/>
        <v>664</v>
      </c>
      <c r="H12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 spans="1:19" s="87" customFormat="1" x14ac:dyDescent="0.25">
      <c r="A123" s="35"/>
      <c r="B123" s="48"/>
      <c r="C123" s="51"/>
      <c r="D123" s="49" t="s">
        <v>130</v>
      </c>
      <c r="E123" s="50">
        <v>1</v>
      </c>
      <c r="F123" s="40">
        <v>29540</v>
      </c>
      <c r="G123" s="40">
        <f t="shared" si="17"/>
        <v>29540</v>
      </c>
      <c r="H123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1:19" s="87" customFormat="1" x14ac:dyDescent="0.25">
      <c r="A124" s="35"/>
      <c r="B124" s="48"/>
      <c r="C124" s="51"/>
      <c r="D124" s="49" t="s">
        <v>131</v>
      </c>
      <c r="E124" s="50">
        <v>1</v>
      </c>
      <c r="F124" s="40">
        <v>20000</v>
      </c>
      <c r="G124" s="40">
        <f t="shared" si="17"/>
        <v>20000</v>
      </c>
      <c r="H124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spans="1:19" s="87" customFormat="1" ht="16.5" x14ac:dyDescent="0.35">
      <c r="A125" s="35"/>
      <c r="B125" s="48"/>
      <c r="C125" s="51"/>
      <c r="D125" s="49" t="s">
        <v>132</v>
      </c>
      <c r="E125" s="50">
        <v>3</v>
      </c>
      <c r="F125" s="63">
        <v>125</v>
      </c>
      <c r="G125" s="40">
        <f t="shared" si="17"/>
        <v>375</v>
      </c>
      <c r="H125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spans="1:19" s="87" customFormat="1" x14ac:dyDescent="0.25">
      <c r="A126" s="35"/>
      <c r="B126" s="48"/>
      <c r="C126" s="51"/>
      <c r="D126" s="49"/>
      <c r="E126" s="50"/>
      <c r="F126" s="81">
        <f>SUM(F122:F125)</f>
        <v>49997</v>
      </c>
      <c r="G126" s="40">
        <f t="shared" ref="G126" si="18">E126*F126</f>
        <v>0</v>
      </c>
      <c r="H126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 spans="1:19" x14ac:dyDescent="0.25">
      <c r="A127" s="35"/>
      <c r="B127" s="48"/>
      <c r="C127" s="41"/>
      <c r="D127" s="49"/>
      <c r="E127" s="50"/>
      <c r="F127" s="40"/>
      <c r="G127" s="40">
        <f t="shared" ref="G127" si="19">E127*F127</f>
        <v>0</v>
      </c>
    </row>
    <row r="128" spans="1:19" x14ac:dyDescent="0.25">
      <c r="A128" s="45"/>
      <c r="B128" s="58"/>
      <c r="C128" s="25" t="s">
        <v>76</v>
      </c>
      <c r="D128" s="59"/>
      <c r="E128" s="46"/>
      <c r="F128" s="46">
        <f>SUM(F127:F127)</f>
        <v>0</v>
      </c>
      <c r="G128" s="46"/>
    </row>
    <row r="129" spans="1:7" x14ac:dyDescent="0.25">
      <c r="A129" s="52">
        <v>1</v>
      </c>
      <c r="B129" s="60" t="s">
        <v>95</v>
      </c>
      <c r="C129" s="60" t="s">
        <v>95</v>
      </c>
      <c r="D129" s="55" t="s">
        <v>77</v>
      </c>
      <c r="E129" s="44">
        <v>1</v>
      </c>
      <c r="F129" s="44">
        <v>15000</v>
      </c>
      <c r="G129" s="57">
        <f>E129*F129</f>
        <v>15000</v>
      </c>
    </row>
    <row r="130" spans="1:7" x14ac:dyDescent="0.25">
      <c r="A130" s="61"/>
      <c r="B130" s="61"/>
      <c r="C130" s="51"/>
      <c r="D130" s="62" t="s">
        <v>78</v>
      </c>
      <c r="E130" s="40">
        <v>1</v>
      </c>
      <c r="F130" s="40">
        <v>382.5</v>
      </c>
      <c r="G130" s="40">
        <f>E130*F130</f>
        <v>382.5</v>
      </c>
    </row>
    <row r="131" spans="1:7" ht="16.5" x14ac:dyDescent="0.35">
      <c r="A131" s="61"/>
      <c r="B131" s="61"/>
      <c r="C131" s="51"/>
      <c r="D131" s="49" t="s">
        <v>79</v>
      </c>
      <c r="E131" s="40">
        <v>1</v>
      </c>
      <c r="F131" s="63">
        <v>351</v>
      </c>
      <c r="G131" s="40">
        <f>E131*F131</f>
        <v>351</v>
      </c>
    </row>
    <row r="132" spans="1:7" x14ac:dyDescent="0.25">
      <c r="A132" s="45"/>
      <c r="B132" s="45"/>
      <c r="C132" s="25" t="s">
        <v>80</v>
      </c>
      <c r="D132" s="59"/>
      <c r="E132" s="46"/>
      <c r="F132" s="46">
        <f>SUM(F129:F131)</f>
        <v>15733.5</v>
      </c>
      <c r="G132" s="46">
        <f>SUM(G20:G131)</f>
        <v>344901.9853</v>
      </c>
    </row>
    <row r="133" spans="1:7" x14ac:dyDescent="0.25">
      <c r="A133" s="64" t="s">
        <v>81</v>
      </c>
      <c r="B133" s="64"/>
      <c r="C133" s="65" t="s">
        <v>82</v>
      </c>
      <c r="D133" s="66"/>
      <c r="E133" s="67"/>
      <c r="F133" s="67"/>
      <c r="G133" s="67"/>
    </row>
    <row r="134" spans="1:7" x14ac:dyDescent="0.25">
      <c r="A134" s="64" t="s">
        <v>81</v>
      </c>
      <c r="B134" s="64"/>
      <c r="C134" s="66" t="s">
        <v>83</v>
      </c>
      <c r="D134" s="66"/>
      <c r="E134" s="67">
        <v>1</v>
      </c>
      <c r="F134" s="67">
        <v>5000</v>
      </c>
      <c r="G134" s="67">
        <f>+E134*F134</f>
        <v>5000</v>
      </c>
    </row>
    <row r="135" spans="1:7" x14ac:dyDescent="0.25">
      <c r="A135" s="64" t="s">
        <v>81</v>
      </c>
      <c r="B135" s="64"/>
      <c r="C135" s="66" t="s">
        <v>84</v>
      </c>
      <c r="D135" s="66"/>
      <c r="E135" s="67"/>
      <c r="F135" s="67"/>
      <c r="G135" s="67"/>
    </row>
    <row r="136" spans="1:7" x14ac:dyDescent="0.25">
      <c r="A136" s="64"/>
      <c r="B136" s="64"/>
      <c r="C136" s="66"/>
      <c r="D136" s="66" t="s">
        <v>85</v>
      </c>
      <c r="E136" s="67">
        <v>1</v>
      </c>
      <c r="F136" s="67">
        <v>4000</v>
      </c>
      <c r="G136" s="67">
        <f>+E136*F136</f>
        <v>4000</v>
      </c>
    </row>
    <row r="137" spans="1:7" x14ac:dyDescent="0.25">
      <c r="A137" s="64"/>
      <c r="B137" s="64"/>
      <c r="C137" s="66"/>
      <c r="D137" s="66" t="s">
        <v>86</v>
      </c>
      <c r="E137" s="67">
        <v>5</v>
      </c>
      <c r="F137" s="67">
        <f>45000/500</f>
        <v>90</v>
      </c>
      <c r="G137" s="67">
        <f>+E137*F137</f>
        <v>450</v>
      </c>
    </row>
    <row r="138" spans="1:7" x14ac:dyDescent="0.25">
      <c r="A138" s="64"/>
      <c r="B138" s="64"/>
      <c r="C138" s="66"/>
      <c r="D138" s="66" t="s">
        <v>87</v>
      </c>
      <c r="E138" s="67">
        <v>1</v>
      </c>
      <c r="F138" s="67">
        <v>150000</v>
      </c>
      <c r="G138" s="67">
        <f>+E138*F138</f>
        <v>150000</v>
      </c>
    </row>
    <row r="139" spans="1:7" x14ac:dyDescent="0.25">
      <c r="A139" s="64" t="s">
        <v>81</v>
      </c>
      <c r="B139" s="68"/>
      <c r="C139" s="66" t="s">
        <v>88</v>
      </c>
      <c r="D139" s="66"/>
      <c r="E139" s="67"/>
      <c r="F139" s="67"/>
      <c r="G139" s="67"/>
    </row>
    <row r="140" spans="1:7" x14ac:dyDescent="0.25">
      <c r="A140" s="64"/>
      <c r="B140" s="68"/>
      <c r="C140" s="69"/>
      <c r="D140" s="66"/>
      <c r="E140" s="67"/>
      <c r="F140" s="67"/>
      <c r="G140" s="67">
        <f>(E140*F140)*7</f>
        <v>0</v>
      </c>
    </row>
    <row r="141" spans="1:7" x14ac:dyDescent="0.25">
      <c r="A141" s="64" t="s">
        <v>81</v>
      </c>
      <c r="B141" s="68"/>
      <c r="C141" s="66" t="s">
        <v>89</v>
      </c>
      <c r="D141" s="66"/>
      <c r="E141" s="67"/>
      <c r="F141" s="67"/>
      <c r="G141" s="67"/>
    </row>
    <row r="142" spans="1:7" x14ac:dyDescent="0.25">
      <c r="A142" s="64"/>
      <c r="B142" s="68"/>
      <c r="C142" s="69"/>
      <c r="D142" s="66"/>
      <c r="E142" s="67"/>
      <c r="F142" s="67"/>
      <c r="G142" s="67">
        <f>E142*F142</f>
        <v>0</v>
      </c>
    </row>
    <row r="143" spans="1:7" x14ac:dyDescent="0.25">
      <c r="A143" s="64" t="s">
        <v>81</v>
      </c>
      <c r="B143" s="68"/>
      <c r="C143" s="66" t="s">
        <v>90</v>
      </c>
      <c r="D143" s="66"/>
      <c r="E143" s="67"/>
      <c r="F143" s="67"/>
      <c r="G143" s="67"/>
    </row>
    <row r="144" spans="1:7" x14ac:dyDescent="0.25">
      <c r="A144" s="64"/>
      <c r="B144" s="68"/>
      <c r="C144" s="69"/>
      <c r="D144" s="66"/>
      <c r="E144" s="67"/>
      <c r="F144" s="67"/>
      <c r="G144" s="67">
        <f>E144*F144</f>
        <v>0</v>
      </c>
    </row>
    <row r="145" spans="1:7" x14ac:dyDescent="0.25">
      <c r="A145" s="88" t="s">
        <v>91</v>
      </c>
      <c r="B145" s="70"/>
      <c r="C145" s="70"/>
      <c r="D145" s="70"/>
      <c r="E145" s="70"/>
      <c r="F145" s="70"/>
      <c r="G145" s="92">
        <f>SUM(G133:G144)</f>
        <v>159450</v>
      </c>
    </row>
    <row r="146" spans="1:7" x14ac:dyDescent="0.25">
      <c r="A146" s="88" t="s">
        <v>92</v>
      </c>
      <c r="B146" s="70"/>
      <c r="C146" s="70"/>
      <c r="D146" s="70"/>
      <c r="E146" s="70"/>
      <c r="F146" s="70"/>
      <c r="G146" s="71"/>
    </row>
    <row r="147" spans="1:7" x14ac:dyDescent="0.25">
      <c r="A147" s="88" t="s">
        <v>93</v>
      </c>
      <c r="B147" s="70"/>
      <c r="C147" s="70"/>
      <c r="D147" s="70"/>
      <c r="E147" s="70"/>
      <c r="F147" s="70"/>
      <c r="G147" s="71"/>
    </row>
  </sheetData>
  <conditionalFormatting sqref="D28">
    <cfRule type="duplicateValues" dxfId="3" priority="1"/>
    <cfRule type="duplicateValues" dxfId="2" priority="2"/>
  </conditionalFormatting>
  <conditionalFormatting sqref="D139:D142">
    <cfRule type="duplicateValues" dxfId="1" priority="4"/>
  </conditionalFormatting>
  <conditionalFormatting sqref="D143:D144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PEMERIKSAAN</vt:lpstr>
      <vt:lpstr>tarif Edukasi dan Oncall</vt:lpstr>
      <vt:lpstr>BMHP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</dc:creator>
  <cp:lastModifiedBy>Ratna RS Prima Husada</cp:lastModifiedBy>
  <dcterms:created xsi:type="dcterms:W3CDTF">2024-05-10T06:32:10Z</dcterms:created>
  <dcterms:modified xsi:type="dcterms:W3CDTF">2024-05-16T08:08:15Z</dcterms:modified>
</cp:coreProperties>
</file>